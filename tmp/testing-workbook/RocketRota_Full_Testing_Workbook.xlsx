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a7c8630387e47c4" /></Relationships>
</file>

<file path=xl/workbook.xml><?xml version="1.0" encoding="utf-8"?>
<workbook xmlns="http://schemas.openxmlformats.org/spreadsheetml/2006/main" xmlns:r="http://schemas.openxmlformats.org/officeDocument/2006/relationships">
  <sheets>
    <sheet name="README" sheetId="1" r:id="R9d995c40568f4ee9"/>
    <sheet name="Dashboard" sheetId="2" r:id="R106c786b3b704e7a"/>
    <sheet name="Test Library" sheetId="3" r:id="R41f8d83467464d5e"/>
    <sheet name="Test Execution" sheetId="4" r:id="R9516a6424c194261"/>
    <sheet name="Defects" sheetId="5" r:id="R5edb481254e448e8"/>
    <sheet name="Coverage Matrix" sheetId="6" r:id="R4e363daa24794c99"/>
    <sheet name="Release Checklist" sheetId="7" r:id="Rfd38d3bed47c4e2e"/>
    <sheet name="Devices &amp; Environments" sheetId="8" r:id="Rd9890568e7484b94"/>
    <sheet name="Test Data" sheetId="9" r:id="Re0f6fe98f9b04146"/>
    <sheet name="Lists" sheetId="10" r:id="R336dd42d8ef74455"/>
  </sheets>
</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0"/>
  </x:numFmts>
  <x:fonts count="9">
    <x:font>
      <x:sz val="11"/>
      <x:name val="Carlito"/>
    </x:font>
    <x:font>
      <x:b/>
      <x:sz val="10"/>
      <x:color rgb="FFFFFFFF"/>
      <x:name val="Carlito"/>
    </x:font>
    <x:font>
      <x:b/>
      <x:sz val="18"/>
      <x:color rgb="FFFFFFFF"/>
      <x:name val="Carlito"/>
    </x:font>
    <x:font>
      <x:b/>
      <x:sz val="11"/>
      <x:color rgb="FFFFFFFF"/>
      <x:name val="Carlito"/>
    </x:font>
    <x:font>
      <x:b/>
      <x:sz val="10"/>
      <x:color rgb="FF172033"/>
      <x:name val="Carlito"/>
    </x:font>
    <x:font>
      <x:b/>
      <x:sz val="20"/>
      <x:color rgb="FF172033"/>
      <x:name val="Carlito"/>
    </x:font>
    <x:font>
      <x:b/>
      <x:sz val="11"/>
      <x:color rgb="FF172033"/>
      <x:name val="Carlito"/>
    </x:font>
    <x:font>
      <x:b/>
      <x:sz val="26"/>
      <x:color rgb="FFDC2626"/>
      <x:name val="Carlito"/>
    </x:font>
    <x:font>
      <x:sz val="11"/>
      <x:color rgb="FF172033"/>
      <x:name val="Carlito"/>
    </x:font>
  </x:fonts>
  <x:fills count="11">
    <x:fill>
      <x:patternFill patternType="none"/>
    </x:fill>
    <x:fill>
      <x:patternFill patternType="gray125"/>
    </x:fill>
    <x:fill>
      <x:patternFill patternType="solid">
        <x:fgColor rgb="FF172033"/>
      </x:patternFill>
    </x:fill>
    <x:fill>
      <x:patternFill patternType="solid">
        <x:fgColor rgb="FF2563EB"/>
      </x:patternFill>
    </x:fill>
    <x:fill>
      <x:patternFill patternType="solid">
        <x:fgColor rgb="FFDBEAFE"/>
      </x:patternFill>
    </x:fill>
    <x:fill>
      <x:patternFill patternType="solid">
        <x:fgColor rgb="FFDCFCE7"/>
      </x:patternFill>
    </x:fill>
    <x:fill>
      <x:patternFill patternType="solid">
        <x:fgColor rgb="FFFEE2E2"/>
      </x:patternFill>
    </x:fill>
    <x:fill>
      <x:patternFill patternType="solid">
        <x:fgColor rgb="FFFEF3C7"/>
      </x:patternFill>
    </x:fill>
    <x:fill>
      <x:patternFill patternType="solid">
        <x:fgColor rgb="FFEDE9FE"/>
      </x:patternFill>
    </x:fill>
    <x:fill>
      <x:patternFill patternType="solid">
        <x:fgColor rgb="FFEFF6FF"/>
      </x:patternFill>
    </x:fill>
    <x:fill>
      <x:patternFill patternType="solid">
        <x:fgColor rgb="FFF1F5F9"/>
      </x:patternFill>
    </x:fill>
  </x:fills>
  <x:borders count="2">
    <x:border/>
    <x:border/>
  </x:borders>
  <x:cellStyleXfs count="1">
    <x:xf numFmtId="0" fontId="0" fillId="0" borderId="0"/>
  </x:cellStyleXfs>
  <x:cellXfs count="14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vertical="center"/>
    </x:xf>
    <x:xf numFmtId="0" fontId="2" fillId="2" borderId="1" xfId="0" applyNumberFormat="1" applyFont="1" applyFill="1" applyBorder="1"/>
    <x:xf numFmtId="0" fontId="2" fillId="2" borderId="1" xfId="0" applyNumberFormat="1" applyFont="1" applyFill="1" applyBorder="1" applyAlignment="1">
      <x:alignment vertical="center"/>
    </x:xf>
    <x:xf numFmtId="0" fontId="2" fillId="2" borderId="0" xfId="0" applyNumberFormat="1" applyFont="1" applyFill="1" applyBorder="1" applyAlignment="1">
      <x:alignment horizontal="left" vertical="center"/>
    </x:xf>
    <x:xf numFmtId="0" fontId="2" fillId="2" borderId="1" xfId="0" applyNumberFormat="1" applyFont="1" applyFill="1" applyBorder="1" applyAlignment="1">
      <x:alignment horizontal="lef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vertical="center"/>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vertic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4" fillId="4" borderId="0" xfId="0" applyNumberFormat="1" applyFont="1" applyFill="1" applyBorder="1" applyAlignment="1">
      <x:alignment horizontal="center" vertical="center"/>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horizontal="center"/>
    </x:xf>
    <x:xf numFmtId="0" fontId="4" fillId="4" borderId="1" xfId="0" applyNumberFormat="1" applyFont="1" applyFill="1" applyBorder="1" applyAlignment="1">
      <x:alignment horizontal="center" vertical="center"/>
    </x:xf>
    <x:xf numFmtId="0" fontId="5" fillId="4" borderId="0" xfId="0" applyNumberFormat="1" applyFont="1" applyFill="1" applyBorder="1"/>
    <x:xf numFmtId="0" fontId="5" fillId="4" borderId="0" xfId="0" applyNumberFormat="1" applyFont="1" applyFill="1" applyBorder="1" applyAlignment="1">
      <x:alignment horizontal="center"/>
    </x:xf>
    <x:xf numFmtId="0" fontId="5" fillId="4" borderId="0" xfId="0" applyNumberFormat="1" applyFont="1" applyFill="1" applyBorder="1" applyAlignment="1">
      <x:alignment horizontal="center" vertical="center"/>
    </x:xf>
    <x:xf numFmtId="0" fontId="5" fillId="4" borderId="1" xfId="0" applyNumberFormat="1" applyFont="1" applyFill="1" applyBorder="1"/>
    <x:xf numFmtId="0" fontId="5" fillId="4" borderId="1" xfId="0" applyNumberFormat="1" applyFont="1" applyFill="1" applyBorder="1" applyAlignment="1">
      <x:alignment horizontal="center"/>
    </x:xf>
    <x:xf numFmtId="0" fontId="5" fillId="4" borderId="1"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4" fillId="5" borderId="1" xfId="0" applyNumberFormat="1" applyFont="1" applyFill="1" applyBorder="1" applyAlignment="1">
      <x:alignment horizontal="center" vertical="center"/>
    </x:xf>
    <x:xf numFmtId="0" fontId="5" fillId="5" borderId="0" xfId="0" applyNumberFormat="1" applyFont="1" applyFill="1" applyBorder="1"/>
    <x:xf numFmtId="0" fontId="5" fillId="5" borderId="0" xfId="0" applyNumberFormat="1" applyFont="1" applyFill="1" applyBorder="1" applyAlignment="1">
      <x:alignment horizontal="center"/>
    </x:xf>
    <x:xf numFmtId="0" fontId="5" fillId="5" borderId="0" xfId="0" applyNumberFormat="1" applyFont="1" applyFill="1" applyBorder="1" applyAlignment="1">
      <x:alignment horizontal="center" vertical="center"/>
    </x:xf>
    <x:xf numFmtId="0" fontId="5" fillId="5" borderId="1" xfId="0" applyNumberFormat="1" applyFont="1" applyFill="1" applyBorder="1"/>
    <x:xf numFmtId="0" fontId="5" fillId="5" borderId="1" xfId="0" applyNumberFormat="1" applyFont="1" applyFill="1" applyBorder="1" applyAlignment="1">
      <x:alignment horizontal="center"/>
    </x:xf>
    <x:xf numFmtId="0" fontId="5" fillId="5" borderId="1" xfId="0" applyNumberFormat="1" applyFont="1" applyFill="1" applyBorder="1" applyAlignment="1">
      <x:alignment horizontal="center" vertical="center"/>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horizontal="center"/>
    </x:xf>
    <x:xf numFmtId="0" fontId="4" fillId="6" borderId="0" xfId="0" applyNumberFormat="1" applyFont="1" applyFill="1" applyBorder="1" applyAlignment="1">
      <x:alignment horizontal="center" vertical="center"/>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horizontal="center"/>
    </x:xf>
    <x:xf numFmtId="0" fontId="4" fillId="6" borderId="1" xfId="0" applyNumberFormat="1" applyFont="1" applyFill="1" applyBorder="1" applyAlignment="1">
      <x:alignment horizontal="center" vertical="center"/>
    </x:xf>
    <x:xf numFmtId="0" fontId="5" fillId="6" borderId="0" xfId="0" applyNumberFormat="1" applyFont="1" applyFill="1" applyBorder="1"/>
    <x:xf numFmtId="0" fontId="5" fillId="6" borderId="0" xfId="0" applyNumberFormat="1" applyFont="1" applyFill="1" applyBorder="1" applyAlignment="1">
      <x:alignment horizontal="center"/>
    </x:xf>
    <x:xf numFmtId="0" fontId="5" fillId="6" borderId="0" xfId="0" applyNumberFormat="1" applyFont="1" applyFill="1" applyBorder="1" applyAlignment="1">
      <x:alignment horizontal="center" vertical="center"/>
    </x:xf>
    <x:xf numFmtId="0" fontId="5" fillId="6" borderId="1" xfId="0" applyNumberFormat="1" applyFont="1" applyFill="1" applyBorder="1"/>
    <x:xf numFmtId="0" fontId="5" fillId="6" borderId="1" xfId="0" applyNumberFormat="1" applyFont="1" applyFill="1" applyBorder="1" applyAlignment="1">
      <x:alignment horizontal="center"/>
    </x:xf>
    <x:xf numFmtId="0" fontId="5" fillId="6" borderId="1" xfId="0" applyNumberFormat="1" applyFont="1" applyFill="1" applyBorder="1" applyAlignment="1">
      <x:alignment horizontal="center" vertical="center"/>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horizontal="center"/>
    </x:xf>
    <x:xf numFmtId="0" fontId="4" fillId="7" borderId="0" xfId="0" applyNumberFormat="1" applyFont="1" applyFill="1" applyBorder="1" applyAlignment="1">
      <x:alignment horizontal="center" vertical="center"/>
    </x:xf>
    <x:xf numFmtId="0" fontId="0" fillId="7" borderId="1" xfId="0" applyNumberFormat="1" applyFont="1" applyFill="1" applyBorder="1"/>
    <x:xf numFmtId="0" fontId="4" fillId="7" borderId="1" xfId="0" applyNumberFormat="1" applyFont="1" applyFill="1" applyBorder="1"/>
    <x:xf numFmtId="0" fontId="4" fillId="7" borderId="1" xfId="0" applyNumberFormat="1" applyFont="1" applyFill="1" applyBorder="1" applyAlignment="1">
      <x:alignment horizontal="center"/>
    </x:xf>
    <x:xf numFmtId="0" fontId="4" fillId="7" borderId="1" xfId="0" applyNumberFormat="1" applyFont="1" applyFill="1" applyBorder="1" applyAlignment="1">
      <x:alignment horizontal="center" vertical="center"/>
    </x:xf>
    <x:xf numFmtId="0" fontId="5" fillId="7" borderId="0" xfId="0" applyNumberFormat="1" applyFont="1" applyFill="1" applyBorder="1"/>
    <x:xf numFmtId="0" fontId="5" fillId="7" borderId="0" xfId="0" applyNumberFormat="1" applyFont="1" applyFill="1" applyBorder="1" applyAlignment="1">
      <x:alignment horizontal="center"/>
    </x:xf>
    <x:xf numFmtId="0" fontId="5" fillId="7" borderId="0" xfId="0" applyNumberFormat="1" applyFont="1" applyFill="1" applyBorder="1" applyAlignment="1">
      <x:alignment horizontal="center" vertical="center"/>
    </x:xf>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1" xfId="0" applyNumberFormat="1" applyFont="1" applyFill="1" applyBorder="1" applyAlignment="1">
      <x:alignment horizontal="center" vertical="center"/>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horizontal="center"/>
    </x:xf>
    <x:xf numFmtId="0" fontId="4" fillId="8" borderId="0" xfId="0" applyNumberFormat="1" applyFont="1" applyFill="1" applyBorder="1" applyAlignment="1">
      <x:alignment horizontal="center" vertical="center"/>
    </x:xf>
    <x:xf numFmtId="0" fontId="0" fillId="8" borderId="1" xfId="0" applyNumberFormat="1" applyFont="1" applyFill="1" applyBorder="1"/>
    <x:xf numFmtId="0" fontId="4" fillId="8" borderId="1" xfId="0" applyNumberFormat="1" applyFont="1" applyFill="1" applyBorder="1"/>
    <x:xf numFmtId="0" fontId="4" fillId="8" borderId="1" xfId="0" applyNumberFormat="1" applyFont="1" applyFill="1" applyBorder="1" applyAlignment="1">
      <x:alignment horizontal="center"/>
    </x:xf>
    <x:xf numFmtId="0" fontId="4" fillId="8" borderId="1" xfId="0" applyNumberFormat="1" applyFont="1" applyFill="1" applyBorder="1" applyAlignment="1">
      <x:alignment horizontal="center" vertical="center"/>
    </x:xf>
    <x:xf numFmtId="0" fontId="5" fillId="8" borderId="0" xfId="0" applyNumberFormat="1" applyFont="1" applyFill="1" applyBorder="1"/>
    <x:xf numFmtId="0" fontId="5" fillId="8" borderId="0" xfId="0" applyNumberFormat="1" applyFont="1" applyFill="1" applyBorder="1" applyAlignment="1">
      <x:alignment horizontal="center"/>
    </x:xf>
    <x:xf numFmtId="0" fontId="5" fillId="8" borderId="0" xfId="0" applyNumberFormat="1" applyFont="1" applyFill="1" applyBorder="1" applyAlignment="1">
      <x:alignment horizontal="center" vertical="center"/>
    </x:xf>
    <x:xf numFmtId="0" fontId="5" fillId="8" borderId="1" xfId="0" applyNumberFormat="1" applyFont="1" applyFill="1" applyBorder="1"/>
    <x:xf numFmtId="0" fontId="5" fillId="8" borderId="1" xfId="0" applyNumberFormat="1" applyFont="1" applyFill="1" applyBorder="1" applyAlignment="1">
      <x:alignment horizontal="center"/>
    </x:xf>
    <x:xf numFmtId="0" fontId="5" fillId="8" borderId="1" xfId="0" applyNumberFormat="1" applyFont="1" applyFill="1" applyBorder="1" applyAlignment="1">
      <x:alignment horizontal="center" vertical="center"/>
    </x:xf>
    <x:xf numFmtId="0" fontId="0" fillId="9" borderId="0" xfId="0" applyNumberFormat="1" applyFont="1" applyFill="1" applyBorder="1"/>
    <x:xf numFmtId="0" fontId="4" fillId="9" borderId="0" xfId="0" applyNumberFormat="1" applyFont="1" applyFill="1" applyBorder="1"/>
    <x:xf numFmtId="0" fontId="4" fillId="9" borderId="0" xfId="0" applyNumberFormat="1" applyFont="1" applyFill="1" applyBorder="1" applyAlignment="1">
      <x:alignment horizontal="center"/>
    </x:xf>
    <x:xf numFmtId="0" fontId="4" fillId="9" borderId="0" xfId="0" applyNumberFormat="1" applyFont="1" applyFill="1" applyBorder="1" applyAlignment="1">
      <x:alignment horizontal="center" vertical="center"/>
    </x:xf>
    <x:xf numFmtId="0" fontId="0" fillId="9" borderId="1" xfId="0" applyNumberFormat="1" applyFont="1" applyFill="1" applyBorder="1"/>
    <x:xf numFmtId="0" fontId="4" fillId="9" borderId="1" xfId="0" applyNumberFormat="1" applyFont="1" applyFill="1" applyBorder="1"/>
    <x:xf numFmtId="0" fontId="4" fillId="9" borderId="1" xfId="0" applyNumberFormat="1" applyFont="1" applyFill="1" applyBorder="1" applyAlignment="1">
      <x:alignment horizontal="center"/>
    </x:xf>
    <x:xf numFmtId="0" fontId="4" fillId="9" borderId="1" xfId="0" applyNumberFormat="1" applyFont="1" applyFill="1" applyBorder="1" applyAlignment="1">
      <x:alignment horizontal="center" vertical="center"/>
    </x:xf>
    <x:xf numFmtId="0" fontId="5" fillId="9" borderId="0" xfId="0" applyNumberFormat="1" applyFont="1" applyFill="1" applyBorder="1"/>
    <x:xf numFmtId="0" fontId="5" fillId="9" borderId="0" xfId="0" applyNumberFormat="1" applyFont="1" applyFill="1" applyBorder="1" applyAlignment="1">
      <x:alignment horizontal="center"/>
    </x:xf>
    <x:xf numFmtId="0" fontId="5" fillId="9" borderId="0" xfId="0" applyNumberFormat="1" applyFont="1" applyFill="1" applyBorder="1" applyAlignment="1">
      <x:alignment horizontal="center" vertical="center"/>
    </x:xf>
    <x:xf numFmtId="0" fontId="5" fillId="9" borderId="1" xfId="0" applyNumberFormat="1" applyFont="1" applyFill="1" applyBorder="1"/>
    <x:xf numFmtId="0" fontId="5" fillId="9" borderId="1" xfId="0" applyNumberFormat="1" applyFont="1" applyFill="1" applyBorder="1" applyAlignment="1">
      <x:alignment horizontal="center"/>
    </x:xf>
    <x:xf numFmtId="0" fontId="5" fillId="9" borderId="1" xfId="0" applyNumberFormat="1" applyFont="1" applyFill="1" applyBorder="1" applyAlignment="1">
      <x:alignment horizontal="center" vertical="center"/>
    </x:xf>
    <x:xf numFmtId="201" fontId="5" fillId="9" borderId="0" xfId="0" applyNumberFormat="1" applyFont="1" applyFill="1" applyBorder="1" applyAlignment="1">
      <x:alignment horizontal="center" vertical="center"/>
    </x:xf>
    <x:xf numFmtId="201" fontId="5" fillId="9" borderId="1" xfId="0" applyNumberFormat="1" applyFont="1" applyFill="1" applyBorder="1" applyAlignment="1">
      <x:alignment horizontal="center" vertical="center"/>
    </x:xf>
    <x:xf numFmtId="0" fontId="0" fillId="10" borderId="0" xfId="0" applyNumberFormat="1" applyFont="1" applyFill="1" applyBorder="1"/>
    <x:xf numFmtId="0" fontId="6" fillId="10" borderId="0" xfId="0" applyNumberFormat="1" applyFont="1" applyFill="1" applyBorder="1"/>
    <x:xf numFmtId="0" fontId="6" fillId="10" borderId="0" xfId="0" applyNumberFormat="1" applyFont="1" applyFill="1" applyBorder="1" applyAlignment="1">
      <x:alignment wrapText="1"/>
    </x:xf>
    <x:xf numFmtId="0" fontId="6" fillId="10" borderId="0" xfId="0" applyNumberFormat="1" applyFont="1" applyFill="1" applyBorder="1" applyAlignment="1">
      <x:alignment vertical="center" wrapText="1"/>
    </x:xf>
    <x:xf numFmtId="0" fontId="0" fillId="10" borderId="1" xfId="0" applyNumberFormat="1" applyFont="1" applyFill="1" applyBorder="1"/>
    <x:xf numFmtId="0" fontId="6" fillId="10" borderId="1" xfId="0" applyNumberFormat="1" applyFont="1" applyFill="1" applyBorder="1"/>
    <x:xf numFmtId="0" fontId="6" fillId="10" borderId="1" xfId="0" applyNumberFormat="1" applyFont="1" applyFill="1" applyBorder="1" applyAlignment="1">
      <x:alignment wrapText="1"/>
    </x:xf>
    <x:xf numFmtId="0" fontId="6" fillId="10" borderId="1" xfId="0" applyNumberFormat="1" applyFont="1" applyFill="1" applyBorder="1" applyAlignment="1">
      <x:alignment vertical="center" wrapText="1"/>
    </x:xf>
    <x:xf numFmtId="0" fontId="7" fillId="6" borderId="0" xfId="0" applyNumberFormat="1" applyFont="1" applyFill="1" applyBorder="1"/>
    <x:xf numFmtId="0" fontId="7" fillId="6" borderId="0" xfId="0" applyNumberFormat="1" applyFont="1" applyFill="1" applyBorder="1" applyAlignment="1">
      <x:alignment horizontal="center"/>
    </x:xf>
    <x:xf numFmtId="0" fontId="7" fillId="6" borderId="0" xfId="0" applyNumberFormat="1" applyFont="1" applyFill="1" applyBorder="1" applyAlignment="1">
      <x:alignment horizontal="center" vertical="center"/>
    </x:xf>
    <x:xf numFmtId="0" fontId="7" fillId="6" borderId="1" xfId="0" applyNumberFormat="1" applyFont="1" applyFill="1" applyBorder="1"/>
    <x:xf numFmtId="0" fontId="7" fillId="6" borderId="1" xfId="0" applyNumberFormat="1" applyFont="1" applyFill="1" applyBorder="1" applyAlignment="1">
      <x:alignment horizontal="center"/>
    </x:xf>
    <x:xf numFmtId="0" fontId="7" fillId="6" borderId="1" xfId="0" applyNumberFormat="1" applyFont="1" applyFill="1" applyBorder="1" applyAlignment="1">
      <x:alignment horizontal="center" vertical="center"/>
    </x:xf>
    <x:xf numFmtId="0" fontId="8" fillId="9" borderId="0" xfId="0" applyNumberFormat="1" applyFont="1" applyFill="1" applyBorder="1"/>
    <x:xf numFmtId="0" fontId="8" fillId="9" borderId="0" xfId="0" applyNumberFormat="1" applyFont="1" applyFill="1" applyBorder="1" applyAlignment="1">
      <x:alignment wrapText="1"/>
    </x:xf>
    <x:xf numFmtId="0" fontId="8" fillId="9" borderId="0" xfId="0" applyNumberFormat="1" applyFont="1" applyFill="1" applyBorder="1" applyAlignment="1">
      <x:alignment vertical="top" wrapText="1"/>
    </x:xf>
    <x:xf numFmtId="0" fontId="8" fillId="9" borderId="1" xfId="0" applyNumberFormat="1" applyFont="1" applyFill="1" applyBorder="1"/>
    <x:xf numFmtId="0" fontId="8" fillId="9" borderId="1" xfId="0" applyNumberFormat="1" applyFont="1" applyFill="1" applyBorder="1" applyAlignment="1">
      <x:alignment wrapText="1"/>
    </x:xf>
    <x:xf numFmtId="0" fontId="8" fillId="9" borderId="1"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6" fillId="10" borderId="0" xfId="0" applyNumberFormat="1" applyFont="1" applyFill="1" applyBorder="1" applyAlignment="1">
      <x:alignment vertical="top" wrapText="1"/>
    </x:xf>
    <x:xf numFmtId="0" fontId="0" fillId="10" borderId="1" xfId="0" applyNumberFormat="1" applyFont="1" applyFill="1" applyBorder="1" applyAlignment="1">
      <x:alignment vertical="top" wrapText="1"/>
    </x:xf>
    <x:xf numFmtId="0" fontId="6" fillId="10" borderId="1" xfId="0" applyNumberFormat="1" applyFont="1" applyFill="1" applyBorder="1" applyAlignment="1">
      <x:alignment vertical="top" wrapText="1"/>
    </x:xf>
    <x:xf numFmtId="202" fontId="5" fillId="8" borderId="0" xfId="0" applyNumberFormat="1" applyFont="1" applyFill="1" applyBorder="1" applyAlignment="1">
      <x:alignment horizontal="center" vertical="center"/>
    </x:xf>
  </x:cellXfs>
  <x:cellStyles count="1">
    <x:cellStyle name="Normal" xfId="0"/>
  </x:cellStyles>
  <x:dxfs count="20">
    <x:dxf>
      <x:font>
        <x:b/>
        <x:color rgb="FFDC2626"/>
      </x:font>
      <x:fill>
        <x:patternFill patternType="solid">
          <x:bgColor rgb="FFFEE2E2"/>
        </x:patternFill>
      </x:fill>
    </x:dxf>
    <x:dxf>
      <x:font>
        <x:color rgb="FFD97706"/>
      </x:font>
      <x:fill>
        <x:patternFill patternType="solid">
          <x:bgColor rgb="FFFEF3C7"/>
        </x:patternFill>
      </x:fill>
    </x:dxf>
    <x:dxf>
      <x:font>
        <x:b/>
        <x:color rgb="FF7C3AED"/>
      </x:font>
      <x:fill>
        <x:patternFill patternType="solid">
          <x:bgColor rgb="FFEDE9FE"/>
        </x:patternFill>
      </x:fill>
    </x:dxf>
    <x:dxf>
      <x:font>
        <x:b/>
        <x:color rgb="FF16A34A"/>
      </x:font>
      <x:fill>
        <x:patternFill patternType="solid">
          <x:bgColor rgb="FFDCFCE7"/>
        </x:patternFill>
      </x:fill>
    </x:dxf>
    <x:dxf>
      <x:font>
        <x:b/>
        <x:color rgb="FFDC2626"/>
      </x:font>
      <x:fill>
        <x:patternFill patternType="solid">
          <x:bgColor rgb="FFFEE2E2"/>
        </x:patternFill>
      </x:fill>
    </x:dxf>
    <x:dxf>
      <x:font>
        <x:color rgb="FFD97706"/>
      </x:font>
      <x:fill>
        <x:patternFill patternType="solid">
          <x:bgColor rgb="FFFEF3C7"/>
        </x:patternFill>
      </x:fill>
    </x:dxf>
    <x:dxf>
      <x:font>
        <x:color rgb="FF2563EB"/>
      </x:font>
      <x:fill>
        <x:patternFill patternType="solid">
          <x:bgColor rgb="FFDBEAFE"/>
        </x:patternFill>
      </x:fill>
    </x:dxf>
    <x:dxf>
      <x:font>
        <x:color rgb="FF475569"/>
      </x:font>
      <x:fill>
        <x:patternFill patternType="solid">
          <x:bgColor rgb="FFF1F5F9"/>
        </x:patternFill>
      </x:fill>
    </x:dxf>
    <x:dxf>
      <x:font>
        <x:color rgb="FF16A34A"/>
      </x:font>
      <x:fill>
        <x:patternFill patternType="solid">
          <x:bgColor rgb="FFDCFCE7"/>
        </x:patternFill>
      </x:fill>
    </x:dxf>
    <x:dxf>
      <x:font>
        <x:color rgb="FFDC2626"/>
      </x:font>
      <x:fill>
        <x:patternFill patternType="solid">
          <x:bgColor rgb="FFFEE2E2"/>
        </x:patternFill>
      </x:fill>
    </x:dxf>
    <x:dxf>
      <x:font>
        <x:color rgb="FF2563EB"/>
      </x:font>
      <x:fill>
        <x:patternFill patternType="solid">
          <x:bgColor rgb="FFDBEAFE"/>
        </x:patternFill>
      </x:fill>
    </x:dxf>
    <x:dxf>
      <x:font>
        <x:color rgb="FFD97706"/>
      </x:font>
      <x:fill>
        <x:patternFill patternType="solid">
          <x:bgColor rgb="FFFEF3C7"/>
        </x:patternFill>
      </x:fill>
    </x:dxf>
    <x:dxf>
      <x:font>
        <x:b/>
        <x:color rgb="FFDC2626"/>
      </x:font>
      <x:fill>
        <x:patternFill patternType="solid">
          <x:bgColor rgb="FFFEE2E2"/>
        </x:patternFill>
      </x:fill>
    </x:dxf>
    <x:dxf>
      <x:font>
        <x:b/>
        <x:color rgb="FF16A34A"/>
      </x:font>
      <x:fill>
        <x:patternFill patternType="solid">
          <x:bgColor rgb="FFDCFCE7"/>
        </x:patternFill>
      </x:fill>
    </x:dxf>
    <x:dxf>
      <x:font>
        <x:b/>
        <x:color rgb="FFDC2626"/>
      </x:font>
      <x:fill>
        <x:patternFill patternType="solid">
          <x:bgColor rgb="FFFEE2E2"/>
        </x:patternFill>
      </x:fill>
    </x:dxf>
    <x:dxf>
      <x:font>
        <x:color rgb="FF16A34A"/>
      </x:font>
      <x:fill>
        <x:patternFill patternType="solid">
          <x:bgColor rgb="FFDCFCE7"/>
        </x:patternFill>
      </x:fill>
    </x:dxf>
    <x:dxf>
      <x:font>
        <x:color rgb="FFDC2626"/>
      </x:font>
      <x:fill>
        <x:patternFill patternType="solid">
          <x:bgColor rgb="FFFEE2E2"/>
        </x:patternFill>
      </x:fill>
    </x:dxf>
    <x:dxf>
      <x:font>
        <x:color rgb="FFD97706"/>
      </x:font>
      <x:fill>
        <x:patternFill patternType="solid">
          <x:bgColor rgb="FFFEF3C7"/>
        </x:patternFill>
      </x:fill>
    </x:dxf>
    <x:dxf>
      <x:font>
        <x:color rgb="FF2563EB"/>
      </x:font>
      <x:fill>
        <x:patternFill patternType="solid">
          <x:bgColor rgb="FFDBEAFE"/>
        </x:patternFill>
      </x:fill>
    </x:dxf>
    <x:dxf>
      <x:font>
        <x:b/>
        <x:color rgb="FF16A34A"/>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413ea1b0c274d1e" /><Relationship Type="http://schemas.openxmlformats.org/officeDocument/2006/relationships/theme" Target="/xl/theme/theme1.xml" Id="Ra60f3b925a944aac" /><Relationship Type="http://schemas.openxmlformats.org/officeDocument/2006/relationships/sharedStrings" Target="/xl/sharedStrings.xml" Id="R0155c406fb0b47ce" /><Relationship Type="http://schemas.openxmlformats.org/officeDocument/2006/relationships/worksheet" Target="/xl/worksheets/sheet1.xml" Id="R9d995c40568f4ee9" /><Relationship Type="http://schemas.openxmlformats.org/officeDocument/2006/relationships/worksheet" Target="/xl/worksheets/sheet2.xml" Id="R106c786b3b704e7a" /><Relationship Type="http://schemas.openxmlformats.org/officeDocument/2006/relationships/worksheet" Target="/xl/worksheets/sheet3.xml" Id="R41f8d83467464d5e" /><Relationship Type="http://schemas.openxmlformats.org/officeDocument/2006/relationships/worksheet" Target="/xl/worksheets/sheet4.xml" Id="R9516a6424c194261" /><Relationship Type="http://schemas.openxmlformats.org/officeDocument/2006/relationships/worksheet" Target="/xl/worksheets/sheet5.xml" Id="R5edb481254e448e8" /><Relationship Type="http://schemas.openxmlformats.org/officeDocument/2006/relationships/worksheet" Target="/xl/worksheets/sheet6.xml" Id="R4e363daa24794c99" /><Relationship Type="http://schemas.openxmlformats.org/officeDocument/2006/relationships/worksheet" Target="/xl/worksheets/sheet7.xml" Id="Rfd38d3bed47c4e2e" /><Relationship Type="http://schemas.openxmlformats.org/officeDocument/2006/relationships/worksheet" Target="/xl/worksheets/sheet8.xml" Id="Rd9890568e7484b94" /><Relationship Type="http://schemas.openxmlformats.org/officeDocument/2006/relationships/worksheet" Target="/xl/worksheets/sheet9.xml" Id="Re0f6fe98f9b04146" /><Relationship Type="http://schemas.openxmlformats.org/officeDocument/2006/relationships/worksheet" Target="/xl/worksheets/sheet10.xml" Id="R336dd42d8ef74455" /></Relationships>
</file>

<file path=xl/drawings/_rels/drawing1.xml.rels>&#65279;<?xml version="1.0" encoding="utf-8"?><Relationships xmlns="http://schemas.openxmlformats.org/package/2006/relationships"><Relationship Type="http://schemas.openxmlformats.org/officeDocument/2006/relationships/chart" Target="/xl/drawings/charts/chart1.xml" Id="R8871fbfd50cc48ff" /><Relationship Type="http://schemas.openxmlformats.org/officeDocument/2006/relationships/chart" Target="/xl/drawings/charts/chart2.xml" Id="R9817e7094d244c6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Test Status</a:t>
            </a:r>
          </a:p>
        </c:rich>
      </c:tx>
      <c:overlay val="0"/>
    </c:title>
    <c:autoTitleDeleted val="0"/>
    <c:plotArea>
      <c:layout/>
      <c:barChart>
        <c:barDir val="col"/>
        <c:varyColors val="0"/>
        <c:ser>
          <c:idx val="0"/>
          <c:order val="0"/>
          <c:tx>
            <c:v>Count</c:v>
          </c:tx>
          <c:cat>
            <c:strRef>
              <c:f>'Dashboard'!$F$5:$F$10</c:f>
              <c:strCache>
                <c:ptCount val="0"/>
              </c:strCache>
            </c:strRef>
          </c:cat>
          <c:val>
            <c:numRef>
              <c:f>'Dashboard'!$G$5:$G$10</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Tests by Area</a:t>
            </a:r>
          </a:p>
        </c:rich>
      </c:tx>
      <c:overlay val="0"/>
    </c:title>
    <c:autoTitleDeleted val="0"/>
    <c:plotArea>
      <c:layout/>
      <c:barChart>
        <c:barDir val="col"/>
        <c:varyColors val="0"/>
        <c:ser>
          <c:idx val="0"/>
          <c:order val="0"/>
          <c:tx>
            <c:v>Total Tests</c:v>
          </c:tx>
          <c:cat>
            <c:strRef>
              <c:f>'Coverage Matrix'!$A$2:$A$25</c:f>
              <c:strCache>
                <c:ptCount val="0"/>
              </c:strCache>
            </c:strRef>
          </c:cat>
          <c:val>
            <c:numRef>
              <c:f>'Coverage Matrix'!$B$2:$B$25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3</xdr:row>
      <xdr:rowOff>0</xdr:rowOff>
    </xdr:from>
    <xdr:to>
      <xdr:col>14</xdr:col>
      <xdr:colOff>0</xdr:colOff>
      <xdr:row>14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871fbfd50cc48ff"/>
        </a:graphicData>
      </a:graphic>
    </xdr:graphicFrame>
    <xdr:clientData/>
  </xdr:twoCellAnchor>
  <xdr:twoCellAnchor>
    <xdr:from>
      <xdr:col>8</xdr:col>
      <xdr:colOff>0</xdr:colOff>
      <xdr:row>15</xdr:row>
      <xdr:rowOff>0</xdr:rowOff>
    </xdr:from>
    <xdr:to>
      <xdr:col>14</xdr:col>
      <xdr:colOff>0</xdr:colOff>
      <xdr:row>35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817e7094d244c65"/>
        </a:graphicData>
      </a:graphic>
    </xdr:graphicFrame>
    <xdr:clientData/>
  </xdr:twoCellAnchor>
</xdr:wsDr>
</file>

<file path=xl/tables/table1.xml><?xml version="1.0" encoding="utf-8"?>
<table xmlns="http://schemas.openxmlformats.org/spreadsheetml/2006/main" id="1" name="TestLibraryTable" displayName="TestLibraryTable" ref="A1:P477" headerRowCount="1">
  <tableColumns count="16">
    <tableColumn id="1" name="Test ID"/>
    <tableColumn id="2" name="Area"/>
    <tableColumn id="3" name="Feature"/>
    <tableColumn id="4" name="Test Type"/>
    <tableColumn id="5" name="Scenario"/>
    <tableColumn id="6" name="Priority"/>
    <tableColumn id="7" name="Risk"/>
    <tableColumn id="8" name="Target Release"/>
    <tableColumn id="9" name="Preconditions"/>
    <tableColumn id="10" name="Test Steps"/>
    <tableColumn id="11" name="Test Data"/>
    <tableColumn id="12" name="Expected Result"/>
    <tableColumn id="13" name="Automation"/>
    <tableColumn id="14" name="Release Gate"/>
    <tableColumn id="15" name="Lifecycle"/>
    <tableColumn id="16" name="Design Notes"/>
  </tableColumns>
  <tableStyleInfo name="TableStyleMedium2" showRowStripes="1"/>
</table>
</file>

<file path=xl/tables/table2.xml><?xml version="1.0" encoding="utf-8"?>
<table xmlns="http://schemas.openxmlformats.org/spreadsheetml/2006/main" id="2" name="TestExecutionTable" displayName="TestExecutionTable" ref="A1:Q477" headerRowCount="1">
  <tableColumns count="17">
    <tableColumn id="1" name="Run ID"/>
    <tableColumn id="2" name="Release / Sprint"/>
    <tableColumn id="3" name="Test ID"/>
    <tableColumn id="4" name="Area"/>
    <tableColumn id="5" name="Feature"/>
    <tableColumn id="6" name="Scenario"/>
    <tableColumn id="7" name="Priority"/>
    <tableColumn id="8" name="Environment"/>
    <tableColumn id="9" name="Status"/>
    <tableColumn id="10" name="Assignee"/>
    <tableColumn id="11" name="Run Date"/>
    <tableColumn id="12" name="Actual Result"/>
    <tableColumn id="13" name="Evidence Link"/>
    <tableColumn id="14" name="Defect ID"/>
    <tableColumn id="15" name="Retest Status"/>
    <tableColumn id="16" name="Release Gate"/>
    <tableColumn id="17" name="Notes"/>
  </tableColumns>
  <tableStyleInfo name="TableStyleMedium2" showRowStripes="1"/>
</table>
</file>

<file path=xl/tables/table3.xml><?xml version="1.0" encoding="utf-8"?>
<x:table xmlns:x="http://schemas.openxmlformats.org/spreadsheetml/2006/main" id="3" name="DefectsTable" displayName="DefectsTable" ref="A1:T201" headerRowCount="1">
  <x:tableColumns count="20">
    <x:tableColumn id="1" name="Defect ID"/>
    <x:tableColumn id="2" name="Title"/>
    <x:tableColumn id="3" name="Area"/>
    <x:tableColumn id="4" name="Test ID"/>
    <x:tableColumn id="5" name="Severity"/>
    <x:tableColumn id="6" name="Priority"/>
    <x:tableColumn id="7" name="Status"/>
    <x:tableColumn id="8" name="Environment"/>
    <x:tableColumn id="9" name="Description"/>
    <x:tableColumn id="10" name="Steps to Reproduce"/>
    <x:tableColumn id="11" name="Expected"/>
    <x:tableColumn id="12" name="Actual"/>
    <x:tableColumn id="13" name="Reporter"/>
    <x:tableColumn id="14" name="Owner"/>
    <x:tableColumn id="15" name="Date Reported"/>
    <x:tableColumn id="16" name="Target Fix"/>
    <x:tableColumn id="17" name="Resolved Date"/>
    <x:tableColumn id="18" name="Retest Status"/>
    <x:tableColumn id="19" name="External Link"/>
    <x:tableColumn id="20" name="Notes"/>
  </x:tableColumns>
  <x:tableStyleInfo name="TableStyleMedium2" showRowStripes="1"/>
</x:table>
</file>

<file path=xl/tables/table4.xml><?xml version="1.0" encoding="utf-8"?>
<table xmlns="http://schemas.openxmlformats.org/spreadsheetml/2006/main" id="4" name="CoverageTable" displayName="CoverageTable" ref="A1:R25" headerRowCount="1">
  <tableColumns count="18">
    <tableColumn id="1" name="Area"/>
    <tableColumn id="2" name="Total Tests"/>
    <tableColumn id="3" name="Critical"/>
    <tableColumn id="4" name="High"/>
    <tableColumn id="5" name="Medium"/>
    <tableColumn id="6" name="Low"/>
    <tableColumn id="7" name="Security"/>
    <tableColumn id="8" name="Integration"/>
    <tableColumn id="9" name="Accessibility"/>
    <tableColumn id="10" name="Performance/Recovery"/>
    <tableColumn id="11" name="Automation Candidates"/>
    <tableColumn id="12" name="Release Gates"/>
    <tableColumn id="13" name="Passed"/>
    <tableColumn id="14" name="Failed"/>
    <tableColumn id="15" name="Blocked"/>
    <tableColumn id="16" name="Not Run"/>
    <tableColumn id="17" name="Pass Rate"/>
    <tableColumn id="18" name="Gate Readiness"/>
  </tableColumns>
  <tableStyleInfo name="TableStyleMedium2" showRowStripes="1"/>
</table>
</file>

<file path=xl/tables/table5.xml><?xml version="1.0" encoding="utf-8"?>
<table xmlns="http://schemas.openxmlformats.org/spreadsheetml/2006/main" id="5" name="ReleaseChecklistTable" displayName="ReleaseChecklistTable" ref="A1:H52" headerRowCount="1">
  <tableColumns count="8">
    <tableColumn id="1" name="Check ID"/>
    <tableColumn id="2" name="Category"/>
    <tableColumn id="3" name="Release Readiness Check"/>
    <tableColumn id="4" name="Owner"/>
    <tableColumn id="5" name="Required"/>
    <tableColumn id="6" name="Status"/>
    <tableColumn id="7" name="Evidence / Link"/>
    <tableColumn id="8" name="Notes"/>
  </tableColumns>
  <tableStyleInfo name="TableStyleMedium2" showRowStripes="1"/>
</table>
</file>

<file path=xl/tables/table6.xml><?xml version="1.0" encoding="utf-8"?>
<table xmlns="http://schemas.openxmlformats.org/spreadsheetml/2006/main" id="6" name="DeviceMatrixTable" displayName="DeviceMatrixTable" ref="A1:L20" headerRowCount="1">
  <tableColumns count="12">
    <tableColumn id="1" name="Env ID"/>
    <tableColumn id="2" name="Environment"/>
    <tableColumn id="3" name="Platform"/>
    <tableColumn id="4" name="Device / Viewport"/>
    <tableColumn id="5" name="Browser"/>
    <tableColumn id="6" name="OS"/>
    <tableColumn id="7" name="Priority"/>
    <tableColumn id="8" name="Required Coverage"/>
    <tableColumn id="9" name="Owner"/>
    <tableColumn id="10" name="Last Tested"/>
    <tableColumn id="11" name="Status"/>
    <tableColumn id="12" name="Notes"/>
  </tableColumns>
  <tableStyleInfo name="TableStyleMedium2" showRowStripes="1"/>
</table>
</file>

<file path=xl/tables/table7.xml><?xml version="1.0" encoding="utf-8"?>
<table xmlns="http://schemas.openxmlformats.org/spreadsheetml/2006/main" id="7" name="TestDataTable" displayName="TestDataTable" ref="A1:E25" headerRowCount="1">
  <tableColumns count="5">
    <tableColumn id="1" name="Data ID"/>
    <tableColumn id="2" name="Type"/>
    <tableColumn id="3" name="Name"/>
    <tableColumn id="4" name="Configuration"/>
    <tableColumn id="5" name="Primary Use"/>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edfdec563c4045f1" /></Relationships>
</file>

<file path=xl/worksheets/_rels/sheet3.xml.rels>&#65279;<?xml version="1.0" encoding="utf-8"?><Relationships xmlns="http://schemas.openxmlformats.org/package/2006/relationships"><Relationship Type="http://schemas.openxmlformats.org/officeDocument/2006/relationships/table" Target="/xl/tables/table1.xml" Id="R48250d80cb684d8b" /></Relationships>
</file>

<file path=xl/worksheets/_rels/sheet4.xml.rels>&#65279;<?xml version="1.0" encoding="utf-8"?><Relationships xmlns="http://schemas.openxmlformats.org/package/2006/relationships"><Relationship Type="http://schemas.openxmlformats.org/officeDocument/2006/relationships/table" Target="/xl/tables/table2.xml" Id="Rdcca692dfbd6455c" /></Relationships>
</file>

<file path=xl/worksheets/_rels/sheet5.xml.rels>&#65279;<?xml version="1.0" encoding="utf-8"?><Relationships xmlns="http://schemas.openxmlformats.org/package/2006/relationships"><Relationship Type="http://schemas.openxmlformats.org/officeDocument/2006/relationships/table" Target="/xl/tables/table3.xml" Id="R61d070bd4ac84670" /></Relationships>
</file>

<file path=xl/worksheets/_rels/sheet6.xml.rels>&#65279;<?xml version="1.0" encoding="utf-8"?><Relationships xmlns="http://schemas.openxmlformats.org/package/2006/relationships"><Relationship Type="http://schemas.openxmlformats.org/officeDocument/2006/relationships/table" Target="/xl/tables/table4.xml" Id="R50a5d7f4abd246c5" /></Relationships>
</file>

<file path=xl/worksheets/_rels/sheet7.xml.rels>&#65279;<?xml version="1.0" encoding="utf-8"?><Relationships xmlns="http://schemas.openxmlformats.org/package/2006/relationships"><Relationship Type="http://schemas.openxmlformats.org/officeDocument/2006/relationships/table" Target="/xl/tables/table5.xml" Id="Radc0432ee12a4f9a" /></Relationships>
</file>

<file path=xl/worksheets/_rels/sheet8.xml.rels>&#65279;<?xml version="1.0" encoding="utf-8"?><Relationships xmlns="http://schemas.openxmlformats.org/package/2006/relationships"><Relationship Type="http://schemas.openxmlformats.org/officeDocument/2006/relationships/table" Target="/xl/tables/table6.xml" Id="Rc3c1208304ce42f1" /></Relationships>
</file>

<file path=xl/worksheets/_rels/sheet9.xml.rels>&#65279;<?xml version="1.0" encoding="utf-8"?><Relationships xmlns="http://schemas.openxmlformats.org/package/2006/relationships"><Relationship Type="http://schemas.openxmlformats.org/officeDocument/2006/relationships/table" Target="/xl/tables/table7.xml" Id="Rdf8ff0aee6784410" /></Relationships>
</file>

<file path=xl/worksheets/sheet1.xml><?xml version="1.0" encoding="utf-8"?>
<worksheet xmlns="http://schemas.openxmlformats.org/spreadsheetml/2006/main">
  <sheetFormatPr defaultRowHeight="15"/>
  <cols>
    <col min="1" max="1" width="22" hidden="0" customWidth="1"/>
    <col min="2" max="2" width="75" hidden="0" customWidth="1"/>
    <col min="3" max="3" width="70" hidden="0" customWidth="1"/>
    <col min="4" max="4" width="14" hidden="0" customWidth="1"/>
    <col min="5" max="5" width="14" hidden="0" customWidth="1"/>
    <col min="6" max="6" width="14" hidden="0" customWidth="1"/>
    <col min="7" max="7" width="14" hidden="0" customWidth="1"/>
    <col min="8" max="8" width="14" hidden="0" customWidth="1"/>
  </cols>
  <sheetData>
    <row r="1">
      <c r="A1" s="22" t="str">
        <v>RocketRota Testing Workbook</v>
      </c>
      <c r="B1" s="22"/>
      <c r="C1" s="22"/>
      <c r="D1" s="22"/>
      <c r="E1" s="22"/>
      <c r="F1" s="22"/>
      <c r="G1" s="22"/>
      <c r="H1" s="22"/>
    </row>
    <row r="2">
      <c r="A2" s="22"/>
      <c r="B2" s="22"/>
      <c r="C2" s="22"/>
      <c r="D2" s="22"/>
      <c r="E2" s="22"/>
      <c r="F2" s="22"/>
      <c r="G2" s="22"/>
      <c r="H2" s="22"/>
    </row>
    <row r="4">
      <c r="A4" s="29" t="str">
        <v>Purpose</v>
      </c>
      <c r="B4" s="29"/>
      <c r="C4" s="29"/>
      <c r="D4" s="29"/>
      <c r="E4" s="29"/>
      <c r="F4" s="29"/>
      <c r="G4" s="29"/>
      <c r="H4" s="29"/>
    </row>
    <row r="5">
      <c r="A5" s="135" t="inlineStr">
        <is>
          <t xml:space="preserve">This workbook contains 476 RocketRota-specific test cases covering the beta product, NFC clock-in security, billing, PWA behaviour, permissions, operations and production readiness. Updated 25 October 2026. Use it as the master QA library and record each release in Test Execution.</t>
        </is>
      </c>
      <c r="B5" s="135"/>
      <c r="C5" s="135"/>
      <c r="D5" s="135"/>
      <c r="E5" s="135"/>
      <c r="F5" s="135"/>
      <c r="G5" s="135"/>
      <c r="H5" s="135"/>
    </row>
    <row r="6">
      <c r="A6" s="135"/>
      <c r="B6" s="135"/>
      <c r="C6" s="135"/>
      <c r="D6" s="135"/>
      <c r="E6" s="135"/>
      <c r="F6" s="135"/>
      <c r="G6" s="135"/>
      <c r="H6" s="135"/>
    </row>
    <row r="7">
      <c r="A7" s="135"/>
      <c r="B7" s="135"/>
      <c r="C7" s="135"/>
      <c r="D7" s="135"/>
      <c r="E7" s="135"/>
      <c r="F7" s="135"/>
      <c r="G7" s="135"/>
      <c r="H7" s="135"/>
    </row>
    <row r="9">
      <c r="A9" s="29" t="str">
        <v>Workbook Guide</v>
      </c>
      <c r="B9" s="29"/>
      <c r="C9" s="29"/>
      <c r="D9" s="29"/>
      <c r="E9" s="29"/>
      <c r="F9" s="29"/>
      <c r="G9" s="29"/>
      <c r="H9" s="29"/>
    </row>
    <row r="10">
      <c r="A10" s="6" t="str">
        <v>Sheet</v>
      </c>
      <c r="B10" s="6" t="str">
        <v>Use</v>
      </c>
    </row>
    <row r="11">
      <c r="A11" s="14" t="str">
        <v>Dashboard</v>
      </c>
      <c r="B11" s="14" t="str">
        <v>Live pass/fail, release gates, defects and go/no-go summary.</v>
      </c>
    </row>
    <row r="12">
      <c r="A12" s="14" t="str">
        <v>Test Library</v>
      </c>
      <c r="B12" s="14" t="str">
        <v>Reusable master scenarios. Add or retire tests here.</v>
      </c>
    </row>
    <row r="13">
      <c r="A13" s="14" t="str">
        <v>Test Execution</v>
      </c>
      <c r="B13" s="14" t="str">
        <v>Record status, tester, date, actual result, evidence and defect link for the Beta Release.</v>
      </c>
    </row>
    <row r="14">
      <c r="A14" s="14" t="str">
        <v>Defects</v>
      </c>
      <c r="B14" s="14" t="str">
        <v>Log, triage, fix and retest defects.</v>
      </c>
    </row>
    <row r="15">
      <c r="A15" s="14" t="str">
        <v>Coverage Matrix</v>
      </c>
      <c r="B15" s="14" t="str">
        <v>Formula-driven test coverage and readiness by product area.</v>
      </c>
    </row>
    <row r="16">
      <c r="A16" s="14" t="str">
        <v>Release Checklist</v>
      </c>
      <c r="B16" s="14" t="str">
        <v>Operational, security and deployment checks required before release.</v>
      </c>
    </row>
    <row r="17">
      <c r="A17" s="14" t="str">
        <v>Devices &amp; Environments</v>
      </c>
      <c r="B17" s="14" t="str">
        <v>Target browser, device, PWA and network coverage.</v>
      </c>
    </row>
    <row r="18">
      <c r="A18" s="14" t="str">
        <v>Test Data</v>
      </c>
      <c r="B18" s="14" t="str">
        <v>Reusable safe test organisations, users and edge-case datasets.</v>
      </c>
    </row>
    <row r="19">
      <c r="A19" s="14" t="str">
        <v>Lists</v>
      </c>
      <c r="B19" s="14" t="str">
        <v>Reference values used by the workbook.</v>
      </c>
    </row>
    <row r="22">
      <c r="A22" s="29" t="str">
        <v>Recommended Test Cycle</v>
      </c>
      <c r="B22" s="29"/>
      <c r="C22" s="29"/>
      <c r="D22" s="29"/>
      <c r="E22" s="29"/>
      <c r="F22" s="29"/>
      <c r="G22" s="29"/>
      <c r="H22" s="29"/>
    </row>
    <row r="23">
      <c r="A23" s="122" t="str">
        <v>1</v>
      </c>
      <c r="B23" s="14" t="str">
        <v>Prepare</v>
      </c>
      <c r="C23" s="14" t="str">
        <v>Select release scope, seed Test Data and confirm target environments.</v>
      </c>
    </row>
    <row r="24">
      <c r="A24" s="122" t="str">
        <v>2</v>
      </c>
      <c r="B24" s="14" t="str">
        <v>Smoke</v>
      </c>
      <c r="C24" s="14" t="str">
        <v>Run authentication, dashboard, rota open/save, publish and clock-in happy paths.</v>
      </c>
    </row>
    <row r="25">
      <c r="A25" s="122" t="str">
        <v>3</v>
      </c>
      <c r="B25" s="14" t="str">
        <v>Feature</v>
      </c>
      <c r="C25" s="14" t="str">
        <v>Execute changed-feature and integration tests.</v>
      </c>
    </row>
    <row r="26">
      <c r="A26" s="122" t="str">
        <v>4</v>
      </c>
      <c r="B26" s="14" t="str">
        <v>Regression</v>
      </c>
      <c r="C26" s="14" t="str">
        <v>Run all Release Gate tests plus affected areas.</v>
      </c>
    </row>
    <row r="27">
      <c r="A27" s="122" t="str">
        <v>5</v>
      </c>
      <c r="B27" s="14" t="str">
        <v>Non-functional</v>
      </c>
      <c r="C27" s="14" t="str">
        <v>Complete security, accessibility, compatibility and performance checks.</v>
      </c>
    </row>
    <row r="28">
      <c r="A28" s="122" t="str">
        <v>6</v>
      </c>
      <c r="B28" s="14" t="str">
        <v>Defect retest</v>
      </c>
      <c r="C28" s="14" t="str">
        <v>Retest fixes and run targeted regression.</v>
      </c>
    </row>
    <row r="29">
      <c r="A29" s="122" t="str">
        <v>7</v>
      </c>
      <c r="B29" s="14" t="str">
        <v>Go/no-go</v>
      </c>
      <c r="C29" s="14" t="str">
        <v>Complete release checklist and review Dashboard.</v>
      </c>
    </row>
    <row r="30">
      <c r="A30" s="122" t="str">
        <v>8</v>
      </c>
      <c r="B30" s="14" t="str">
        <v>Production smoke</v>
      </c>
      <c r="C30" s="14" t="str">
        <v>Run the minimal Production Smoke set without destructive data.</v>
      </c>
    </row>
    <row r="32">
      <c r="A32" s="29" t="str">
        <v>Status Rules</v>
      </c>
      <c r="B32" s="29"/>
      <c r="C32" s="29"/>
      <c r="D32" s="29"/>
      <c r="E32" s="29"/>
      <c r="F32" s="29"/>
      <c r="G32" s="29"/>
      <c r="H32" s="29"/>
    </row>
    <row r="33">
      <c r="A33" s="14" t="str">
        <v>Passed</v>
      </c>
      <c r="B33" s="14" t="str">
        <v>Expected result fully met; evidence recorded for Critical/High tests.</v>
      </c>
    </row>
    <row r="34">
      <c r="A34" s="14" t="str">
        <v>Failed</v>
      </c>
      <c r="B34" s="14" t="str">
        <v>Expected result not met; create/link a defect.</v>
      </c>
    </row>
    <row r="35">
      <c r="A35" s="14" t="str">
        <v>Blocked</v>
      </c>
      <c r="B35" s="14" t="str">
        <v>Cannot execute due to dependency, environment or missing data.</v>
      </c>
    </row>
    <row r="36">
      <c r="A36" s="14" t="str">
        <v>Not Applicable</v>
      </c>
      <c r="B36" s="14" t="str">
        <v>Explicitly outside this release/configuration; add rationale in Notes.</v>
      </c>
    </row>
    <row r="37">
      <c r="A37" s="14" t="str">
        <v>Release Gate = Yes</v>
      </c>
      <c r="B37" s="14" t="str">
        <v>Must pass before GO unless an explicit, documented risk acceptance exists.</v>
      </c>
    </row>
  </sheetData>
  <mergeCells>
    <mergeCell ref="A1:H2"/>
    <mergeCell ref="A4:H4"/>
    <mergeCell ref="A5:H7"/>
    <mergeCell ref="A9:H9"/>
    <mergeCell ref="A22:H22"/>
    <mergeCell ref="A32:H32"/>
  </mergeCells>
  <pageMargins left="0.7" right="0.7" top="0.75" bottom="0.75" header="0.3" footer="0.3"/>
</worksheet>
</file>

<file path=xl/worksheets/sheet2.xml><?xml version="1.0" encoding="utf-8"?>
<worksheet xmlns="http://schemas.openxmlformats.org/spreadsheetml/2006/main" xmlns:r="http://schemas.openxmlformats.org/officeDocument/2006/relationships">
  <sheetFormatPr defaultRowHeight="15"/>
  <cols>
    <col min="1" max="1" width="18" hidden="0" customWidth="1"/>
    <col min="2" max="2" width="18" hidden="0" customWidth="1"/>
    <col min="3" max="3" width="18" hidden="0" customWidth="1"/>
    <col min="4" max="4" width="18" hidden="0" customWidth="1"/>
    <col min="6" max="6" width="18" hidden="0" customWidth="1"/>
    <col min="7" max="7" width="12" hidden="0" customWidth="1"/>
  </cols>
  <sheetData>
    <row r="1" ht="28" customHeight="1">
      <c r="A1" s="25" t="str">
        <v>RocketRota QA &amp; Release Readiness</v>
      </c>
      <c r="B1" s="25"/>
      <c r="C1" s="25"/>
      <c r="D1" s="25"/>
      <c r="E1" s="25"/>
      <c r="F1" s="25"/>
      <c r="G1" s="25"/>
      <c r="H1" s="25"/>
      <c r="I1" s="25"/>
      <c r="J1" s="25"/>
      <c r="K1" s="25"/>
      <c r="L1" s="25"/>
      <c r="M1" s="25"/>
      <c r="N1" s="25"/>
    </row>
    <row r="2" ht="28" customHeight="1">
      <c r="A2" s="25"/>
      <c r="B2" s="25"/>
      <c r="C2" s="25"/>
      <c r="D2" s="25"/>
      <c r="E2" s="25"/>
      <c r="F2" s="25"/>
      <c r="G2" s="25"/>
      <c r="H2" s="25"/>
      <c r="I2" s="25"/>
      <c r="J2" s="25"/>
      <c r="K2" s="25"/>
      <c r="L2" s="25"/>
      <c r="M2" s="25"/>
      <c r="N2" s="25"/>
    </row>
    <row r="4">
      <c r="A4" s="29" t="str">
        <v>Test Execution</v>
      </c>
      <c r="B4" s="29"/>
      <c r="C4" s="29"/>
      <c r="D4" s="29"/>
      <c r="F4" s="6" t="str">
        <v>Status</v>
      </c>
      <c r="G4" s="6" t="str">
        <v>Count</v>
      </c>
    </row>
    <row r="5">
      <c r="A5" s="36" t="str">
        <v>Total Tests</v>
      </c>
      <c r="B5" s="36" t="str">
        <v>Total Tests</v>
      </c>
      <c r="C5" s="50" t="str">
        <v>Passed</v>
      </c>
      <c r="D5" s="50" t="str">
        <v>Passed</v>
      </c>
      <c r="F5" s="14" t="str">
        <v>Passed</v>
      </c>
      <c r="G5" s="14">
        <f>COUNTIF('Test Execution'!$I:$I,F5)</f>
        <v>0</v>
      </c>
    </row>
    <row r="6">
      <c r="A6" s="43">
        <f>COUNTA('Test Library'!A:A)-1</f>
        <v>476</v>
      </c>
      <c r="B6" s="43"/>
      <c r="C6" s="57">
        <f>COUNTIF('Test Execution'!I:I,"Passed")</f>
        <v>0</v>
      </c>
      <c r="D6" s="57"/>
      <c r="F6" s="14" t="str">
        <v>Failed</v>
      </c>
      <c r="G6" s="14">
        <f>COUNTIF('Test Execution'!$I:$I,F6)</f>
        <v>0</v>
      </c>
    </row>
    <row r="7">
      <c r="A7" s="64" t="str">
        <v>Failed</v>
      </c>
      <c r="B7" s="64" t="str">
        <v>Failed</v>
      </c>
      <c r="C7" s="78" t="str">
        <v>Blocked</v>
      </c>
      <c r="D7" s="78" t="str">
        <v>Blocked</v>
      </c>
      <c r="F7" s="14" t="str">
        <v>Blocked</v>
      </c>
      <c r="G7" s="14">
        <f>COUNTIF('Test Execution'!$I:$I,F7)</f>
        <v>0</v>
      </c>
    </row>
    <row r="8">
      <c r="A8" s="71">
        <f>COUNTIF('Test Execution'!I:I,"Failed")</f>
        <v>0</v>
      </c>
      <c r="B8" s="71"/>
      <c r="C8" s="85">
        <f>COUNTIF('Test Execution'!I:I,"Blocked")</f>
        <v>0</v>
      </c>
      <c r="D8" s="85"/>
      <c r="F8" s="14" t="str">
        <v>In Progress</v>
      </c>
      <c r="G8" s="14">
        <f>COUNTIF('Test Execution'!$I:$I,F8)</f>
        <v>0</v>
      </c>
    </row>
    <row r="9">
      <c r="A9" s="92" t="str">
        <v>Executed</v>
      </c>
      <c r="B9" s="92" t="str">
        <v>Executed</v>
      </c>
      <c r="C9" s="106" t="str">
        <v>Pass Rate</v>
      </c>
      <c r="D9" s="106" t="str">
        <v>Pass Rate</v>
      </c>
      <c r="F9" s="14" t="str">
        <v>Not Run</v>
      </c>
      <c r="G9" s="14">
        <f>COUNTIF('Test Execution'!$I:$I,F9)</f>
        <v>476</v>
      </c>
    </row>
    <row r="10">
      <c r="A10" s="143">
        <f>COUNTIF('Test Execution'!I:I,"Passed")+COUNTIF('Test Execution'!I:I,"Failed")+COUNTIF('Test Execution'!I:I,"Blocked")+COUNTIF('Test Execution'!I:I,"In Progress")</f>
        <v>0</v>
      </c>
      <c r="B10" s="143"/>
      <c r="C10" s="117">
        <f>IFERROR(COUNTIF('Test Execution'!I:I,"Passed")/(COUNTIF('Test Execution'!I:I,"Passed")+COUNTIF('Test Execution'!I:I,"Failed")+COUNTIF('Test Execution'!I:I,"Blocked")),0)</f>
        <v>0</v>
      </c>
      <c r="D10" s="117"/>
      <c r="F10" s="14" t="str">
        <v>Not Applicable</v>
      </c>
      <c r="G10" s="14">
        <f>COUNTIF('Test Execution'!$I:$I,F10)</f>
        <v>0</v>
      </c>
    </row>
    <row r="12">
      <c r="A12" s="29" t="str">
        <v>Release Gates &amp; Defects</v>
      </c>
      <c r="B12" s="29"/>
      <c r="C12" s="29"/>
      <c r="D12" s="29"/>
    </row>
    <row r="13">
      <c r="A13" s="122" t="str">
        <v>Metric</v>
      </c>
      <c r="B13" s="122" t="str">
        <v>Value</v>
      </c>
      <c r="F13" s="6" t="str">
        <v>Checklist Status</v>
      </c>
      <c r="G13" s="6" t="str">
        <v>Count</v>
      </c>
    </row>
    <row r="14">
      <c r="A14" s="14" t="str">
        <v>Unpassed release-gate tests</v>
      </c>
      <c r="B14" s="14">
        <f>COUNTIFS('Test Execution'!P:P,"Yes",'Test Execution'!I:I,"&lt;&gt;Passed")</f>
        <v>432</v>
      </c>
      <c r="F14" s="14" t="str">
        <v>Passed</v>
      </c>
      <c r="G14" s="14">
        <f>COUNTIF('Release Checklist'!$F:$F,F14)</f>
        <v>0</v>
      </c>
    </row>
    <row r="15">
      <c r="A15" s="14" t="str">
        <v>Open Critical/High defects</v>
      </c>
      <c r="B15" s="14" t="n">
        <f>COUNTIFS(Defects!E:E,"Critical",Defects!G:G,"&lt;&gt;Closed")+COUNTIFS(Defects!E:E,"High",Defects!G:G,"&lt;&gt;Closed")</f>
        <v>0</v>
      </c>
      <c r="F15" s="14" t="str">
        <v>Failed</v>
      </c>
      <c r="G15" s="14">
        <f>COUNTIF('Release Checklist'!$F:$F,F15)</f>
        <v>0</v>
      </c>
    </row>
    <row r="16">
      <c r="A16" s="14" t="str">
        <v>Required checklist items not passed</v>
      </c>
      <c r="B16" s="14">
        <f>COUNTIFS('Release Checklist'!E:E,"Yes",'Release Checklist'!F:F,"&lt;&gt;Passed")</f>
        <v>50</v>
      </c>
      <c r="F16" s="14" t="str">
        <v>Blocked</v>
      </c>
      <c r="G16" s="14">
        <f>COUNTIF('Release Checklist'!$F:$F,F16)</f>
        <v>0</v>
      </c>
    </row>
    <row r="17">
      <c r="F17" s="14" t="str">
        <v>In Progress</v>
      </c>
      <c r="G17" s="14">
        <f>COUNTIF('Release Checklist'!$F:$F,F17)</f>
        <v>0</v>
      </c>
    </row>
    <row r="18">
      <c r="A18" s="29" t="str">
        <v>Go / No-Go</v>
      </c>
      <c r="B18" s="29"/>
      <c r="C18" s="29"/>
      <c r="D18" s="29"/>
      <c r="F18" s="14" t="str">
        <v>Not Started</v>
      </c>
      <c r="G18" s="14">
        <f>COUNTIF('Release Checklist'!$F:$F,F18)</f>
        <v>51</v>
      </c>
    </row>
    <row r="19">
      <c r="A19" s="129" t="str">
        <f>IF(AND(B14=0,B15=0,B16=0,COUNTIF('Test Execution'!I:I,"Failed")=0),"GO","NO-GO")</f>
        <v>NO-GO</v>
      </c>
      <c r="B19" s="129"/>
      <c r="C19" s="129"/>
      <c r="D19" s="129"/>
    </row>
    <row r="20">
      <c r="A20" s="129"/>
      <c r="B20" s="129"/>
      <c r="C20" s="129"/>
      <c r="D20" s="129"/>
    </row>
    <row r="21">
      <c r="A21" s="129"/>
      <c r="B21" s="129"/>
      <c r="C21" s="129"/>
      <c r="D21" s="129"/>
    </row>
    <row r="23">
      <c r="A23" s="29" t="str">
        <v>How to use</v>
      </c>
      <c r="B23" s="29"/>
      <c r="C23" s="29"/>
      <c r="D23" s="29"/>
      <c r="E23" s="29"/>
      <c r="F23" s="29"/>
      <c r="G23" s="29"/>
    </row>
    <row r="24">
      <c r="A24" s="135" t="str">
        <v>1. Maintain reusable scenarios in Test Library.
2. Record each beta/release result in Test Execution; attach evidence and defect IDs.
3. Log issues in Defects and retest after fixes.
4. Complete required Release Checklist items.
5. Dashboard changes to GO only when required checks and release-gate tests pass.</v>
      </c>
      <c r="B24" s="135"/>
      <c r="C24" s="135"/>
      <c r="D24" s="135"/>
      <c r="E24" s="135"/>
      <c r="F24" s="135"/>
      <c r="G24" s="135"/>
    </row>
    <row r="25">
      <c r="A25" s="135"/>
      <c r="B25" s="135"/>
      <c r="C25" s="135"/>
      <c r="D25" s="135"/>
      <c r="E25" s="135"/>
      <c r="F25" s="135"/>
      <c r="G25" s="135"/>
    </row>
    <row r="26">
      <c r="A26" s="135"/>
      <c r="B26" s="135"/>
      <c r="C26" s="135"/>
      <c r="D26" s="135"/>
      <c r="E26" s="135"/>
      <c r="F26" s="135"/>
      <c r="G26" s="135"/>
    </row>
    <row r="27">
      <c r="A27" s="135"/>
      <c r="B27" s="135"/>
      <c r="C27" s="135"/>
      <c r="D27" s="135"/>
      <c r="E27" s="135"/>
      <c r="F27" s="135"/>
      <c r="G27" s="135"/>
    </row>
    <row r="28">
      <c r="A28" s="135"/>
      <c r="B28" s="135"/>
      <c r="C28" s="135"/>
      <c r="D28" s="135"/>
      <c r="E28" s="135"/>
      <c r="F28" s="135"/>
      <c r="G28" s="135"/>
    </row>
  </sheetData>
  <mergeCells>
    <mergeCell ref="A1:N2"/>
    <mergeCell ref="A4:D4"/>
    <mergeCell ref="A5:B5"/>
    <mergeCell ref="A6:B6"/>
    <mergeCell ref="C5:D5"/>
    <mergeCell ref="C6:D6"/>
    <mergeCell ref="A7:B7"/>
    <mergeCell ref="A8:B8"/>
    <mergeCell ref="C7:D7"/>
    <mergeCell ref="C8:D8"/>
    <mergeCell ref="A9:B9"/>
    <mergeCell ref="A10:B10"/>
    <mergeCell ref="C9:D9"/>
    <mergeCell ref="C10:D10"/>
    <mergeCell ref="A12:D12"/>
    <mergeCell ref="A18:D18"/>
    <mergeCell ref="A19:D21"/>
    <mergeCell ref="A23:G23"/>
    <mergeCell ref="A24:G28"/>
  </mergeCells>
  <conditionalFormatting sqref="A19:D21">
    <cfRule type="expression" dxfId="19" priority="1">
      <formula>A19="GO"</formula>
    </cfRule>
  </conditionalFormatting>
  <pageMargins left="0.7" right="0.7" top="0.75" bottom="0.75" header="0.3" footer="0.3"/>
  <drawing r:id="Redfdec563c4045f1"/>
</worksheet>
</file>

<file path=xl/worksheets/sheet3.xml><?xml version="1.0" encoding="utf-8"?>
<worksheet xmlns="http://schemas.openxmlformats.org/spreadsheetml/2006/main" xmlns:r="http://schemas.openxmlformats.org/officeDocument/2006/relationships">
  <sheetFormatPr defaultRowHeight="15"/>
  <cols>
    <col min="1" max="1" width="12" hidden="0" customWidth="1"/>
    <col min="2" max="2" width="29" hidden="0" customWidth="1"/>
    <col min="3" max="3" width="28" hidden="0" customWidth="1"/>
    <col min="4" max="4" width="16" hidden="0" customWidth="1"/>
    <col min="5" max="5" width="42" hidden="0" customWidth="1"/>
    <col min="6" max="6" width="11" hidden="0" customWidth="1"/>
    <col min="7" max="7" width="11" hidden="0" customWidth="1"/>
    <col min="8" max="8" width="14" hidden="0" customWidth="1"/>
    <col min="9" max="9" width="38" hidden="0" customWidth="1"/>
    <col min="10" max="10" width="48" hidden="0" customWidth="1"/>
    <col min="11" max="11" width="30" hidden="0" customWidth="1"/>
    <col min="12" max="12" width="48" hidden="0" customWidth="1"/>
    <col min="13" max="13" width="14" hidden="0" customWidth="1"/>
    <col min="14" max="14" width="14" hidden="0" customWidth="1"/>
    <col min="15" max="15" width="14" hidden="0" customWidth="1"/>
    <col min="16" max="16" width="30" hidden="0" customWidth="1"/>
  </cols>
  <sheetData>
    <row r="1" ht="34" customHeight="1">
      <c r="A1" s="6" t="inlineStr">
        <is>
          <t xml:space="preserve">Test ID</t>
        </is>
      </c>
      <c r="B1" s="6" t="inlineStr">
        <is>
          <t xml:space="preserve">Area</t>
        </is>
      </c>
      <c r="C1" s="6" t="inlineStr">
        <is>
          <t xml:space="preserve">Feature</t>
        </is>
      </c>
      <c r="D1" s="6" t="inlineStr">
        <is>
          <t xml:space="preserve">Test Type</t>
        </is>
      </c>
      <c r="E1" s="6" t="inlineStr">
        <is>
          <t xml:space="preserve">Scenario</t>
        </is>
      </c>
      <c r="F1" s="6" t="inlineStr">
        <is>
          <t xml:space="preserve">Priority</t>
        </is>
      </c>
      <c r="G1" s="6" t="inlineStr">
        <is>
          <t xml:space="preserve">Risk</t>
        </is>
      </c>
      <c r="H1" s="6" t="inlineStr">
        <is>
          <t xml:space="preserve">Target Release</t>
        </is>
      </c>
      <c r="I1" s="6" t="inlineStr">
        <is>
          <t xml:space="preserve">Preconditions</t>
        </is>
      </c>
      <c r="J1" s="6" t="inlineStr">
        <is>
          <t xml:space="preserve">Test Steps</t>
        </is>
      </c>
      <c r="K1" s="6" t="inlineStr">
        <is>
          <t xml:space="preserve">Test Data</t>
        </is>
      </c>
      <c r="L1" s="6" t="inlineStr">
        <is>
          <t xml:space="preserve">Expected Result</t>
        </is>
      </c>
      <c r="M1" s="6" t="inlineStr">
        <is>
          <t xml:space="preserve">Automation</t>
        </is>
      </c>
      <c r="N1" s="6" t="inlineStr">
        <is>
          <t xml:space="preserve">Release Gate</t>
        </is>
      </c>
      <c r="O1" s="6" t="inlineStr">
        <is>
          <t xml:space="preserve">Lifecycle</t>
        </is>
      </c>
      <c r="P1" s="6" t="inlineStr">
        <is>
          <t xml:space="preserve">Design Notes</t>
        </is>
      </c>
    </row>
    <row r="2">
      <c r="A2" s="14" t="inlineStr">
        <is>
          <t xml:space="preserve">RR-0001</t>
        </is>
      </c>
      <c r="B2" s="14" t="inlineStr">
        <is>
          <t xml:space="preserve">Authentication &amp; Accounts</t>
        </is>
      </c>
      <c r="C2" s="14" t="inlineStr">
        <is>
          <t xml:space="preserve">Registration and verification</t>
        </is>
      </c>
      <c r="D2" s="14" t="inlineStr">
        <is>
          <t xml:space="preserve">Functional</t>
        </is>
      </c>
      <c r="E2" s="14" t="inlineStr">
        <is>
          <t xml:space="preserve">Register with valid owner details</t>
        </is>
      </c>
      <c r="F2" s="14" t="inlineStr">
        <is>
          <t xml:space="preserve">Critical</t>
        </is>
      </c>
      <c r="G2" s="14" t="inlineStr">
        <is>
          <t xml:space="preserve">Medium</t>
        </is>
      </c>
      <c r="H2" s="14" t="inlineStr">
        <is>
          <t xml:space="preserve">Beta</t>
        </is>
      </c>
      <c r="I2" s="14" t="inlineStr">
        <is>
          <t xml:space="preserve">Staging environment; email delivery enabled; test user is signed out.</t>
        </is>
      </c>
      <c r="J2" s="14" t="inlineStr">
        <is>
          <t xml:space="preserve">1. Prepare the stated preconditions and sign in with the required role.
2. Navigate to Registration and verification.
3. Execute: Register with valid owner details.
4. Refresh or reopen the relevant page and inspect persisted data.
5. Verify UI feedback, permissions, notifications and audit records where applicable.</t>
        </is>
      </c>
      <c r="K2" s="14" t="inlineStr">
        <is>
          <t xml:space="preserve">owner@example.test; employee@example.test; invalid/expired tokens</t>
        </is>
      </c>
      <c r="L2" s="14" t="inlineStr">
        <is>
          <t xml:space="preserve">Account is created once, verification email is queued and the user is directed to verification/onboarding.</t>
        </is>
      </c>
      <c r="M2" s="14" t="inlineStr">
        <is>
          <t xml:space="preserve">Candidate</t>
        </is>
      </c>
      <c r="N2" s="14" t="inlineStr">
        <is>
          <t xml:space="preserve">Yes</t>
        </is>
      </c>
      <c r="O2" s="14" t="inlineStr">
        <is>
          <t xml:space="preserve">Active</t>
        </is>
      </c>
      <c r="P2" s="14"/>
    </row>
    <row r="3">
      <c r="A3" s="14" t="inlineStr">
        <is>
          <t xml:space="preserve">RR-0002</t>
        </is>
      </c>
      <c r="B3" s="14" t="inlineStr">
        <is>
          <t xml:space="preserve">Authentication &amp; Accounts</t>
        </is>
      </c>
      <c r="C3" s="14" t="inlineStr">
        <is>
          <t xml:space="preserve">Registration and verification</t>
        </is>
      </c>
      <c r="D3" s="14" t="inlineStr">
        <is>
          <t xml:space="preserve">Negative</t>
        </is>
      </c>
      <c r="E3" s="14" t="inlineStr">
        <is>
          <t xml:space="preserve">Register using an email that already has an account</t>
        </is>
      </c>
      <c r="F3" s="14" t="inlineStr">
        <is>
          <t xml:space="preserve">High</t>
        </is>
      </c>
      <c r="G3" s="14" t="inlineStr">
        <is>
          <t xml:space="preserve">Medium</t>
        </is>
      </c>
      <c r="H3" s="14" t="inlineStr">
        <is>
          <t xml:space="preserve">Beta</t>
        </is>
      </c>
      <c r="I3" s="14" t="inlineStr">
        <is>
          <t xml:space="preserve">Staging environment; email delivery enabled; test user is signed out.</t>
        </is>
      </c>
      <c r="J3" s="14" t="inlineStr">
        <is>
          <t xml:space="preserve">1. Prepare the stated preconditions and sign in with the required role.
2. Navigate to Registration and verification.
3. Execute: Register using an email that already has an account.
4. Refresh or reopen the relevant page and inspect persisted data.
5. Verify UI feedback, permissions, notifications and audit records where applicable.</t>
        </is>
      </c>
      <c r="K3" s="14" t="inlineStr">
        <is>
          <t xml:space="preserve">owner@example.test; employee@example.test; invalid/expired tokens</t>
        </is>
      </c>
      <c r="L3" s="14" t="inlineStr">
        <is>
          <t xml:space="preserve">No duplicate account is created and the user receives a safe, helpful sign-in/reset message.</t>
        </is>
      </c>
      <c r="M3" s="14" t="inlineStr">
        <is>
          <t xml:space="preserve">Candidate</t>
        </is>
      </c>
      <c r="N3" s="14" t="inlineStr">
        <is>
          <t xml:space="preserve">Yes</t>
        </is>
      </c>
      <c r="O3" s="14" t="inlineStr">
        <is>
          <t xml:space="preserve">Active</t>
        </is>
      </c>
      <c r="P3" s="14"/>
    </row>
    <row r="4">
      <c r="A4" s="14" t="inlineStr">
        <is>
          <t xml:space="preserve">RR-0003</t>
        </is>
      </c>
      <c r="B4" s="14" t="inlineStr">
        <is>
          <t xml:space="preserve">Authentication &amp; Accounts</t>
        </is>
      </c>
      <c r="C4" s="14" t="inlineStr">
        <is>
          <t xml:space="preserve">Registration and verification</t>
        </is>
      </c>
      <c r="D4" s="14" t="inlineStr">
        <is>
          <t xml:space="preserve">Validation</t>
        </is>
      </c>
      <c r="E4" s="14" t="inlineStr">
        <is>
          <t xml:space="preserve">Register with an invalid email format</t>
        </is>
      </c>
      <c r="F4" s="14" t="inlineStr">
        <is>
          <t xml:space="preserve">Medium</t>
        </is>
      </c>
      <c r="G4" s="14" t="inlineStr">
        <is>
          <t xml:space="preserve">Medium</t>
        </is>
      </c>
      <c r="H4" s="14" t="inlineStr">
        <is>
          <t xml:space="preserve">Beta</t>
        </is>
      </c>
      <c r="I4" s="14" t="inlineStr">
        <is>
          <t xml:space="preserve">Staging environment; email delivery enabled; test user is signed out.</t>
        </is>
      </c>
      <c r="J4" s="14" t="inlineStr">
        <is>
          <t xml:space="preserve">1. Prepare the stated preconditions and sign in with the required role.
2. Navigate to Registration and verification.
3. Execute: Register with an invalid email format.
4. Refresh or reopen the relevant page and inspect persisted data.
5. Verify UI feedback, permissions, notifications and audit records where applicable.</t>
        </is>
      </c>
      <c r="K4" s="14" t="inlineStr">
        <is>
          <t xml:space="preserve">owner@example.test; employee@example.test; invalid/expired tokens</t>
        </is>
      </c>
      <c r="L4" s="14" t="inlineStr">
        <is>
          <t xml:space="preserve">Submission is blocked with accessible inline validation and no account is created.</t>
        </is>
      </c>
      <c r="M4" s="14" t="inlineStr">
        <is>
          <t xml:space="preserve">Candidate</t>
        </is>
      </c>
      <c r="N4" s="14" t="inlineStr">
        <is>
          <t xml:space="preserve">No</t>
        </is>
      </c>
      <c r="O4" s="14" t="inlineStr">
        <is>
          <t xml:space="preserve">Active</t>
        </is>
      </c>
      <c r="P4" s="14"/>
    </row>
    <row r="5">
      <c r="A5" s="14" t="inlineStr">
        <is>
          <t xml:space="preserve">RR-0004</t>
        </is>
      </c>
      <c r="B5" s="14" t="inlineStr">
        <is>
          <t xml:space="preserve">Authentication &amp; Accounts</t>
        </is>
      </c>
      <c r="C5" s="14" t="inlineStr">
        <is>
          <t xml:space="preserve">Registration and verification</t>
        </is>
      </c>
      <c r="D5" s="14" t="inlineStr">
        <is>
          <t xml:space="preserve">Security</t>
        </is>
      </c>
      <c r="E5" s="14" t="inlineStr">
        <is>
          <t xml:space="preserve">Register with a weak password</t>
        </is>
      </c>
      <c r="F5" s="14" t="inlineStr">
        <is>
          <t xml:space="preserve">High</t>
        </is>
      </c>
      <c r="G5" s="14" t="inlineStr">
        <is>
          <t xml:space="preserve">Medium</t>
        </is>
      </c>
      <c r="H5" s="14" t="inlineStr">
        <is>
          <t xml:space="preserve">Beta</t>
        </is>
      </c>
      <c r="I5" s="14" t="inlineStr">
        <is>
          <t xml:space="preserve">Staging environment; email delivery enabled; test user is signed out.</t>
        </is>
      </c>
      <c r="J5" s="14" t="inlineStr">
        <is>
          <t xml:space="preserve">1. Prepare the stated preconditions and sign in with the required role.
2. Navigate to Registration and verification.
3. Execute: Register with a weak password.
4. Refresh or reopen the relevant page and inspect persisted data.
5. Verify UI feedback, permissions, notifications and audit records where applicable.</t>
        </is>
      </c>
      <c r="K5" s="14" t="inlineStr">
        <is>
          <t xml:space="preserve">owner@example.test; employee@example.test; invalid/expired tokens</t>
        </is>
      </c>
      <c r="L5" s="14" t="inlineStr">
        <is>
          <t xml:space="preserve">Password policy is enforced consistently on client and server.</t>
        </is>
      </c>
      <c r="M5" s="14" t="inlineStr">
        <is>
          <t xml:space="preserve">Candidate</t>
        </is>
      </c>
      <c r="N5" s="14" t="inlineStr">
        <is>
          <t xml:space="preserve">Yes</t>
        </is>
      </c>
      <c r="O5" s="14" t="inlineStr">
        <is>
          <t xml:space="preserve">Active</t>
        </is>
      </c>
      <c r="P5" s="14"/>
    </row>
    <row r="6">
      <c r="A6" s="14" t="inlineStr">
        <is>
          <t xml:space="preserve">RR-0005</t>
        </is>
      </c>
      <c r="B6" s="14" t="inlineStr">
        <is>
          <t xml:space="preserve">Authentication &amp; Accounts</t>
        </is>
      </c>
      <c r="C6" s="14" t="inlineStr">
        <is>
          <t xml:space="preserve">Registration and verification</t>
        </is>
      </c>
      <c r="D6" s="14" t="inlineStr">
        <is>
          <t xml:space="preserve">Concurrency</t>
        </is>
      </c>
      <c r="E6" s="14" t="inlineStr">
        <is>
          <t xml:space="preserve">Submit registration twice rapidly</t>
        </is>
      </c>
      <c r="F6" s="14" t="inlineStr">
        <is>
          <t xml:space="preserve">High</t>
        </is>
      </c>
      <c r="G6" s="14" t="inlineStr">
        <is>
          <t xml:space="preserve">Medium</t>
        </is>
      </c>
      <c r="H6" s="14" t="inlineStr">
        <is>
          <t xml:space="preserve">Beta</t>
        </is>
      </c>
      <c r="I6" s="14" t="inlineStr">
        <is>
          <t xml:space="preserve">Staging environment; email delivery enabled; test user is signed out.</t>
        </is>
      </c>
      <c r="J6" s="14" t="inlineStr">
        <is>
          <t xml:space="preserve">1. Prepare the stated preconditions and sign in with the required role.
2. Navigate to Registration and verification.
3. Execute: Submit registration twice rapidly.
4. Refresh or reopen the relevant page and inspect persisted data.
5. Verify UI feedback, permissions, notifications and audit records where applicable.</t>
        </is>
      </c>
      <c r="K6" s="14" t="inlineStr">
        <is>
          <t xml:space="preserve">owner@example.test; employee@example.test; invalid/expired tokens</t>
        </is>
      </c>
      <c r="L6" s="14" t="inlineStr">
        <is>
          <t xml:space="preserve">Only one account and one active onboarding state are created.</t>
        </is>
      </c>
      <c r="M6" s="14" t="inlineStr">
        <is>
          <t xml:space="preserve">Candidate</t>
        </is>
      </c>
      <c r="N6" s="14" t="inlineStr">
        <is>
          <t xml:space="preserve">Yes</t>
        </is>
      </c>
      <c r="O6" s="14" t="inlineStr">
        <is>
          <t xml:space="preserve">Active</t>
        </is>
      </c>
      <c r="P6" s="14"/>
    </row>
    <row r="7">
      <c r="A7" s="14" t="inlineStr">
        <is>
          <t xml:space="preserve">RR-0006</t>
        </is>
      </c>
      <c r="B7" s="14" t="inlineStr">
        <is>
          <t xml:space="preserve">Authentication &amp; Accounts</t>
        </is>
      </c>
      <c r="C7" s="14" t="inlineStr">
        <is>
          <t xml:space="preserve">Registration and verification</t>
        </is>
      </c>
      <c r="D7" s="14" t="inlineStr">
        <is>
          <t xml:space="preserve">Functional</t>
        </is>
      </c>
      <c r="E7" s="14" t="inlineStr">
        <is>
          <t xml:space="preserve">Open a valid verification link</t>
        </is>
      </c>
      <c r="F7" s="14" t="inlineStr">
        <is>
          <t xml:space="preserve">Critical</t>
        </is>
      </c>
      <c r="G7" s="14" t="inlineStr">
        <is>
          <t xml:space="preserve">Medium</t>
        </is>
      </c>
      <c r="H7" s="14" t="inlineStr">
        <is>
          <t xml:space="preserve">Beta</t>
        </is>
      </c>
      <c r="I7" s="14" t="inlineStr">
        <is>
          <t xml:space="preserve">Staging environment; email delivery enabled; test user is signed out.</t>
        </is>
      </c>
      <c r="J7" s="14" t="inlineStr">
        <is>
          <t xml:space="preserve">1. Prepare the stated preconditions and sign in with the required role.
2. Navigate to Registration and verification.
3. Execute: Open a valid verification link.
4. Refresh or reopen the relevant page and inspect persisted data.
5. Verify UI feedback, permissions, notifications and audit records where applicable.</t>
        </is>
      </c>
      <c r="K7" s="14" t="inlineStr">
        <is>
          <t xml:space="preserve">owner@example.test; employee@example.test; invalid/expired tokens</t>
        </is>
      </c>
      <c r="L7" s="14" t="inlineStr">
        <is>
          <t xml:space="preserve">Email is marked verified and the link cannot be used to verify another account.</t>
        </is>
      </c>
      <c r="M7" s="14" t="inlineStr">
        <is>
          <t xml:space="preserve">Candidate</t>
        </is>
      </c>
      <c r="N7" s="14" t="inlineStr">
        <is>
          <t xml:space="preserve">Yes</t>
        </is>
      </c>
      <c r="O7" s="14" t="inlineStr">
        <is>
          <t xml:space="preserve">Active</t>
        </is>
      </c>
      <c r="P7" s="14"/>
    </row>
    <row r="8">
      <c r="A8" s="14" t="inlineStr">
        <is>
          <t xml:space="preserve">RR-0007</t>
        </is>
      </c>
      <c r="B8" s="14" t="inlineStr">
        <is>
          <t xml:space="preserve">Authentication &amp; Accounts</t>
        </is>
      </c>
      <c r="C8" s="14" t="inlineStr">
        <is>
          <t xml:space="preserve">Registration and verification</t>
        </is>
      </c>
      <c r="D8" s="14" t="inlineStr">
        <is>
          <t xml:space="preserve">Negative</t>
        </is>
      </c>
      <c r="E8" s="14" t="inlineStr">
        <is>
          <t xml:space="preserve">Open an expired verification link</t>
        </is>
      </c>
      <c r="F8" s="14" t="inlineStr">
        <is>
          <t xml:space="preserve">High</t>
        </is>
      </c>
      <c r="G8" s="14" t="inlineStr">
        <is>
          <t xml:space="preserve">Medium</t>
        </is>
      </c>
      <c r="H8" s="14" t="inlineStr">
        <is>
          <t xml:space="preserve">Beta</t>
        </is>
      </c>
      <c r="I8" s="14" t="inlineStr">
        <is>
          <t xml:space="preserve">Staging environment; email delivery enabled; test user is signed out.</t>
        </is>
      </c>
      <c r="J8" s="14" t="inlineStr">
        <is>
          <t xml:space="preserve">1. Prepare the stated preconditions and sign in with the required role.
2. Navigate to Registration and verification.
3. Execute: Open an expired verification link.
4. Refresh or reopen the relevant page and inspect persisted data.
5. Verify UI feedback, permissions, notifications and audit records where applicable.</t>
        </is>
      </c>
      <c r="K8" s="14" t="inlineStr">
        <is>
          <t xml:space="preserve">owner@example.test; employee@example.test; invalid/expired tokens</t>
        </is>
      </c>
      <c r="L8" s="14" t="inlineStr">
        <is>
          <t xml:space="preserve">Verification is rejected and a resend option is provided.</t>
        </is>
      </c>
      <c r="M8" s="14" t="inlineStr">
        <is>
          <t xml:space="preserve">Candidate</t>
        </is>
      </c>
      <c r="N8" s="14" t="inlineStr">
        <is>
          <t xml:space="preserve">Yes</t>
        </is>
      </c>
      <c r="O8" s="14" t="inlineStr">
        <is>
          <t xml:space="preserve">Active</t>
        </is>
      </c>
      <c r="P8" s="14"/>
    </row>
    <row r="9">
      <c r="A9" s="14" t="inlineStr">
        <is>
          <t xml:space="preserve">RR-0008</t>
        </is>
      </c>
      <c r="B9" s="14" t="inlineStr">
        <is>
          <t xml:space="preserve">Authentication &amp; Accounts</t>
        </is>
      </c>
      <c r="C9" s="14" t="inlineStr">
        <is>
          <t xml:space="preserve">Registration and verification</t>
        </is>
      </c>
      <c r="D9" s="14" t="inlineStr">
        <is>
          <t xml:space="preserve">Security</t>
        </is>
      </c>
      <c r="E9" s="14" t="inlineStr">
        <is>
          <t xml:space="preserve">Resend verification repeatedly</t>
        </is>
      </c>
      <c r="F9" s="14" t="inlineStr">
        <is>
          <t xml:space="preserve">High</t>
        </is>
      </c>
      <c r="G9" s="14" t="inlineStr">
        <is>
          <t xml:space="preserve">Medium</t>
        </is>
      </c>
      <c r="H9" s="14" t="inlineStr">
        <is>
          <t xml:space="preserve">Beta</t>
        </is>
      </c>
      <c r="I9" s="14" t="inlineStr">
        <is>
          <t xml:space="preserve">Staging environment; email delivery enabled; test user is signed out.</t>
        </is>
      </c>
      <c r="J9" s="14" t="inlineStr">
        <is>
          <t xml:space="preserve">1. Prepare the stated preconditions and sign in with the required role.
2. Navigate to Registration and verification.
3. Execute: Resend verification repeatedly.
4. Refresh or reopen the relevant page and inspect persisted data.
5. Verify UI feedback, permissions, notifications and audit records where applicable.</t>
        </is>
      </c>
      <c r="K9" s="14" t="inlineStr">
        <is>
          <t xml:space="preserve">owner@example.test; employee@example.test; invalid/expired tokens</t>
        </is>
      </c>
      <c r="L9" s="14" t="inlineStr">
        <is>
          <t xml:space="preserve">Rate limits prevent abuse while allowing a legitimate resend after the cooldown.</t>
        </is>
      </c>
      <c r="M9" s="14" t="inlineStr">
        <is>
          <t xml:space="preserve">Candidate</t>
        </is>
      </c>
      <c r="N9" s="14" t="inlineStr">
        <is>
          <t xml:space="preserve">Yes</t>
        </is>
      </c>
      <c r="O9" s="14" t="inlineStr">
        <is>
          <t xml:space="preserve">Active</t>
        </is>
      </c>
      <c r="P9" s="14"/>
    </row>
    <row r="10">
      <c r="A10" s="14" t="inlineStr">
        <is>
          <t xml:space="preserve">RR-0009</t>
        </is>
      </c>
      <c r="B10" s="14" t="inlineStr">
        <is>
          <t xml:space="preserve">Authentication &amp; Accounts</t>
        </is>
      </c>
      <c r="C10" s="14" t="inlineStr">
        <is>
          <t xml:space="preserve">Sign-in, sessions and recovery</t>
        </is>
      </c>
      <c r="D10" s="14" t="inlineStr">
        <is>
          <t xml:space="preserve">Functional</t>
        </is>
      </c>
      <c r="E10" s="14" t="inlineStr">
        <is>
          <t xml:space="preserve">Sign in with valid verified credentials</t>
        </is>
      </c>
      <c r="F10" s="14" t="inlineStr">
        <is>
          <t xml:space="preserve">Critical</t>
        </is>
      </c>
      <c r="G10" s="14" t="inlineStr">
        <is>
          <t xml:space="preserve">Medium</t>
        </is>
      </c>
      <c r="H10" s="14" t="inlineStr">
        <is>
          <t xml:space="preserve">Beta</t>
        </is>
      </c>
      <c r="I10" s="14" t="inlineStr">
        <is>
          <t xml:space="preserve">Staging environment; email delivery enabled; test user is signed out.</t>
        </is>
      </c>
      <c r="J10" s="14" t="inlineStr">
        <is>
          <t xml:space="preserve">1. Prepare the stated preconditions and sign in with the required role.
2. Navigate to Sign-in, sessions and recovery.
3. Execute: Sign in with valid verified credentials.
4. Refresh or reopen the relevant page and inspect persisted data.
5. Verify UI feedback, permissions, notifications and audit records where applicable.</t>
        </is>
      </c>
      <c r="K10" s="14" t="inlineStr">
        <is>
          <t xml:space="preserve">owner@example.test; employee@example.test; invalid/expired tokens</t>
        </is>
      </c>
      <c r="L10" s="14" t="inlineStr">
        <is>
          <t xml:space="preserve">A secure session is created and the user lands on the correct organisation/location context.</t>
        </is>
      </c>
      <c r="M10" s="14" t="inlineStr">
        <is>
          <t xml:space="preserve">Candidate</t>
        </is>
      </c>
      <c r="N10" s="14" t="inlineStr">
        <is>
          <t xml:space="preserve">Yes</t>
        </is>
      </c>
      <c r="O10" s="14" t="inlineStr">
        <is>
          <t xml:space="preserve">Active</t>
        </is>
      </c>
      <c r="P10" s="14"/>
    </row>
    <row r="11">
      <c r="A11" s="14" t="inlineStr">
        <is>
          <t xml:space="preserve">RR-0010</t>
        </is>
      </c>
      <c r="B11" s="14" t="inlineStr">
        <is>
          <t xml:space="preserve">Authentication &amp; Accounts</t>
        </is>
      </c>
      <c r="C11" s="14" t="inlineStr">
        <is>
          <t xml:space="preserve">Sign-in, sessions and recovery</t>
        </is>
      </c>
      <c r="D11" s="14" t="inlineStr">
        <is>
          <t xml:space="preserve">Security</t>
        </is>
      </c>
      <c r="E11" s="14" t="inlineStr">
        <is>
          <t xml:space="preserve">Sign in with the wrong password</t>
        </is>
      </c>
      <c r="F11" s="14" t="inlineStr">
        <is>
          <t xml:space="preserve">Critical</t>
        </is>
      </c>
      <c r="G11" s="14" t="inlineStr">
        <is>
          <t xml:space="preserve">Medium</t>
        </is>
      </c>
      <c r="H11" s="14" t="inlineStr">
        <is>
          <t xml:space="preserve">Beta</t>
        </is>
      </c>
      <c r="I11" s="14" t="inlineStr">
        <is>
          <t xml:space="preserve">Staging environment; email delivery enabled; test user is signed out.</t>
        </is>
      </c>
      <c r="J11" s="14" t="inlineStr">
        <is>
          <t xml:space="preserve">1. Prepare the stated preconditions and sign in with the required role.
2. Navigate to Sign-in, sessions and recovery.
3. Execute: Sign in with the wrong password.
4. Refresh or reopen the relevant page and inspect persisted data.
5. Verify UI feedback, permissions, notifications and audit records where applicable.</t>
        </is>
      </c>
      <c r="K11" s="14" t="inlineStr">
        <is>
          <t xml:space="preserve">owner@example.test; employee@example.test; invalid/expired tokens</t>
        </is>
      </c>
      <c r="L11" s="14" t="inlineStr">
        <is>
          <t xml:space="preserve">Access is denied without revealing whether the email exists.</t>
        </is>
      </c>
      <c r="M11" s="14" t="inlineStr">
        <is>
          <t xml:space="preserve">Candidate</t>
        </is>
      </c>
      <c r="N11" s="14" t="inlineStr">
        <is>
          <t xml:space="preserve">Yes</t>
        </is>
      </c>
      <c r="O11" s="14" t="inlineStr">
        <is>
          <t xml:space="preserve">Active</t>
        </is>
      </c>
      <c r="P11" s="14"/>
    </row>
    <row r="12">
      <c r="A12" s="14" t="inlineStr">
        <is>
          <t xml:space="preserve">RR-0011</t>
        </is>
      </c>
      <c r="B12" s="14" t="inlineStr">
        <is>
          <t xml:space="preserve">Authentication &amp; Accounts</t>
        </is>
      </c>
      <c r="C12" s="14" t="inlineStr">
        <is>
          <t xml:space="preserve">Sign-in, sessions and recovery</t>
        </is>
      </c>
      <c r="D12" s="14" t="inlineStr">
        <is>
          <t xml:space="preserve">Functional</t>
        </is>
      </c>
      <c r="E12" s="14" t="inlineStr">
        <is>
          <t xml:space="preserve">Sign in before email verification</t>
        </is>
      </c>
      <c r="F12" s="14" t="inlineStr">
        <is>
          <t xml:space="preserve">High</t>
        </is>
      </c>
      <c r="G12" s="14" t="inlineStr">
        <is>
          <t xml:space="preserve">Medium</t>
        </is>
      </c>
      <c r="H12" s="14" t="inlineStr">
        <is>
          <t xml:space="preserve">Beta</t>
        </is>
      </c>
      <c r="I12" s="14" t="inlineStr">
        <is>
          <t xml:space="preserve">Staging environment; email delivery enabled; test user is signed out.</t>
        </is>
      </c>
      <c r="J12" s="14" t="inlineStr">
        <is>
          <t xml:space="preserve">1. Prepare the stated preconditions and sign in with the required role.
2. Navigate to Sign-in, sessions and recovery.
3. Execute: Sign in before email verification.
4. Refresh or reopen the relevant page and inspect persisted data.
5. Verify UI feedback, permissions, notifications and audit records where applicable.</t>
        </is>
      </c>
      <c r="K12" s="14" t="inlineStr">
        <is>
          <t xml:space="preserve">owner@example.test; employee@example.test; invalid/expired tokens</t>
        </is>
      </c>
      <c r="L12" s="14" t="inlineStr">
        <is>
          <t xml:space="preserve">Behaviour matches policy: access is blocked or restricted with a clear verification action.</t>
        </is>
      </c>
      <c r="M12" s="14" t="inlineStr">
        <is>
          <t xml:space="preserve">Candidate</t>
        </is>
      </c>
      <c r="N12" s="14" t="inlineStr">
        <is>
          <t xml:space="preserve">Yes</t>
        </is>
      </c>
      <c r="O12" s="14" t="inlineStr">
        <is>
          <t xml:space="preserve">Active</t>
        </is>
      </c>
      <c r="P12" s="14"/>
    </row>
    <row r="13">
      <c r="A13" s="14" t="inlineStr">
        <is>
          <t xml:space="preserve">RR-0012</t>
        </is>
      </c>
      <c r="B13" s="14" t="inlineStr">
        <is>
          <t xml:space="preserve">Authentication &amp; Accounts</t>
        </is>
      </c>
      <c r="C13" s="14" t="inlineStr">
        <is>
          <t xml:space="preserve">Sign-in, sessions and recovery</t>
        </is>
      </c>
      <c r="D13" s="14" t="inlineStr">
        <is>
          <t xml:space="preserve">Functional</t>
        </is>
      </c>
      <c r="E13" s="14" t="inlineStr">
        <is>
          <t xml:space="preserve">Request a password reset for an existing email</t>
        </is>
      </c>
      <c r="F13" s="14" t="inlineStr">
        <is>
          <t xml:space="preserve">High</t>
        </is>
      </c>
      <c r="G13" s="14" t="inlineStr">
        <is>
          <t xml:space="preserve">Medium</t>
        </is>
      </c>
      <c r="H13" s="14" t="inlineStr">
        <is>
          <t xml:space="preserve">Beta</t>
        </is>
      </c>
      <c r="I13" s="14" t="inlineStr">
        <is>
          <t xml:space="preserve">Staging environment; email delivery enabled; test user is signed out.</t>
        </is>
      </c>
      <c r="J13" s="14" t="inlineStr">
        <is>
          <t xml:space="preserve">1. Prepare the stated preconditions and sign in with the required role.
2. Navigate to Sign-in, sessions and recovery.
3. Execute: Request a password reset for an existing email.
4. Refresh or reopen the relevant page and inspect persisted data.
5. Verify UI feedback, permissions, notifications and audit records where applicable.</t>
        </is>
      </c>
      <c r="K13" s="14" t="inlineStr">
        <is>
          <t xml:space="preserve">owner@example.test; employee@example.test; invalid/expired tokens</t>
        </is>
      </c>
      <c r="L13" s="14" t="inlineStr">
        <is>
          <t xml:space="preserve">A single-use reset email is sent without exposing sensitive account details.</t>
        </is>
      </c>
      <c r="M13" s="14" t="inlineStr">
        <is>
          <t xml:space="preserve">Candidate</t>
        </is>
      </c>
      <c r="N13" s="14" t="inlineStr">
        <is>
          <t xml:space="preserve">Yes</t>
        </is>
      </c>
      <c r="O13" s="14" t="inlineStr">
        <is>
          <t xml:space="preserve">Active</t>
        </is>
      </c>
      <c r="P13" s="14"/>
    </row>
    <row r="14">
      <c r="A14" s="14" t="inlineStr">
        <is>
          <t xml:space="preserve">RR-0013</t>
        </is>
      </c>
      <c r="B14" s="14" t="inlineStr">
        <is>
          <t xml:space="preserve">Authentication &amp; Accounts</t>
        </is>
      </c>
      <c r="C14" s="14" t="inlineStr">
        <is>
          <t xml:space="preserve">Sign-in, sessions and recovery</t>
        </is>
      </c>
      <c r="D14" s="14" t="inlineStr">
        <is>
          <t xml:space="preserve">Security</t>
        </is>
      </c>
      <c r="E14" s="14" t="inlineStr">
        <is>
          <t xml:space="preserve">Request a password reset for an unknown email</t>
        </is>
      </c>
      <c r="F14" s="14" t="inlineStr">
        <is>
          <t xml:space="preserve">High</t>
        </is>
      </c>
      <c r="G14" s="14" t="inlineStr">
        <is>
          <t xml:space="preserve">Medium</t>
        </is>
      </c>
      <c r="H14" s="14" t="inlineStr">
        <is>
          <t xml:space="preserve">Beta</t>
        </is>
      </c>
      <c r="I14" s="14" t="inlineStr">
        <is>
          <t xml:space="preserve">Staging environment; email delivery enabled; test user is signed out.</t>
        </is>
      </c>
      <c r="J14" s="14" t="inlineStr">
        <is>
          <t xml:space="preserve">1. Prepare the stated preconditions and sign in with the required role.
2. Navigate to Sign-in, sessions and recovery.
3. Execute: Request a password reset for an unknown email.
4. Refresh or reopen the relevant page and inspect persisted data.
5. Verify UI feedback, permissions, notifications and audit records where applicable.</t>
        </is>
      </c>
      <c r="K14" s="14" t="inlineStr">
        <is>
          <t xml:space="preserve">owner@example.test; employee@example.test; invalid/expired tokens</t>
        </is>
      </c>
      <c r="L14" s="14" t="inlineStr">
        <is>
          <t xml:space="preserve">The same neutral response is shown and no account enumeration is possible.</t>
        </is>
      </c>
      <c r="M14" s="14" t="inlineStr">
        <is>
          <t xml:space="preserve">Candidate</t>
        </is>
      </c>
      <c r="N14" s="14" t="inlineStr">
        <is>
          <t xml:space="preserve">Yes</t>
        </is>
      </c>
      <c r="O14" s="14" t="inlineStr">
        <is>
          <t xml:space="preserve">Active</t>
        </is>
      </c>
      <c r="P14" s="14"/>
    </row>
    <row r="15">
      <c r="A15" s="14" t="inlineStr">
        <is>
          <t xml:space="preserve">RR-0014</t>
        </is>
      </c>
      <c r="B15" s="14" t="inlineStr">
        <is>
          <t xml:space="preserve">Authentication &amp; Accounts</t>
        </is>
      </c>
      <c r="C15" s="14" t="inlineStr">
        <is>
          <t xml:space="preserve">Sign-in, sessions and recovery</t>
        </is>
      </c>
      <c r="D15" s="14" t="inlineStr">
        <is>
          <t xml:space="preserve">Functional</t>
        </is>
      </c>
      <c r="E15" s="14" t="inlineStr">
        <is>
          <t xml:space="preserve">Use a valid password-reset token</t>
        </is>
      </c>
      <c r="F15" s="14" t="inlineStr">
        <is>
          <t xml:space="preserve">Critical</t>
        </is>
      </c>
      <c r="G15" s="14" t="inlineStr">
        <is>
          <t xml:space="preserve">Medium</t>
        </is>
      </c>
      <c r="H15" s="14" t="inlineStr">
        <is>
          <t xml:space="preserve">Beta</t>
        </is>
      </c>
      <c r="I15" s="14" t="inlineStr">
        <is>
          <t xml:space="preserve">Staging environment; email delivery enabled; test user is signed out.</t>
        </is>
      </c>
      <c r="J15" s="14" t="inlineStr">
        <is>
          <t xml:space="preserve">1. Prepare the stated preconditions and sign in with the required role.
2. Navigate to Sign-in, sessions and recovery.
3. Execute: Use a valid password-reset token.
4. Refresh or reopen the relevant page and inspect persisted data.
5. Verify UI feedback, permissions, notifications and audit records where applicable.</t>
        </is>
      </c>
      <c r="K15" s="14" t="inlineStr">
        <is>
          <t xml:space="preserve">owner@example.test; employee@example.test; invalid/expired tokens</t>
        </is>
      </c>
      <c r="L15" s="14" t="inlineStr">
        <is>
          <t xml:space="preserve">Password changes, token becomes unusable and the user can sign in with the new password.</t>
        </is>
      </c>
      <c r="M15" s="14" t="inlineStr">
        <is>
          <t xml:space="preserve">Candidate</t>
        </is>
      </c>
      <c r="N15" s="14" t="inlineStr">
        <is>
          <t xml:space="preserve">Yes</t>
        </is>
      </c>
      <c r="O15" s="14" t="inlineStr">
        <is>
          <t xml:space="preserve">Active</t>
        </is>
      </c>
      <c r="P15" s="14"/>
    </row>
    <row r="16">
      <c r="A16" s="14" t="inlineStr">
        <is>
          <t xml:space="preserve">RR-0015</t>
        </is>
      </c>
      <c r="B16" s="14" t="inlineStr">
        <is>
          <t xml:space="preserve">Authentication &amp; Accounts</t>
        </is>
      </c>
      <c r="C16" s="14" t="inlineStr">
        <is>
          <t xml:space="preserve">Sign-in, sessions and recovery</t>
        </is>
      </c>
      <c r="D16" s="14" t="inlineStr">
        <is>
          <t xml:space="preserve">Negative</t>
        </is>
      </c>
      <c r="E16" s="14" t="inlineStr">
        <is>
          <t xml:space="preserve">Use an expired or already-used reset token</t>
        </is>
      </c>
      <c r="F16" s="14" t="inlineStr">
        <is>
          <t xml:space="preserve">High</t>
        </is>
      </c>
      <c r="G16" s="14" t="inlineStr">
        <is>
          <t xml:space="preserve">Medium</t>
        </is>
      </c>
      <c r="H16" s="14" t="inlineStr">
        <is>
          <t xml:space="preserve">Beta</t>
        </is>
      </c>
      <c r="I16" s="14" t="inlineStr">
        <is>
          <t xml:space="preserve">Staging environment; email delivery enabled; test user is signed out.</t>
        </is>
      </c>
      <c r="J16" s="14" t="inlineStr">
        <is>
          <t xml:space="preserve">1. Prepare the stated preconditions and sign in with the required role.
2. Navigate to Sign-in, sessions and recovery.
3. Execute: Use an expired or already-used reset token.
4. Refresh or reopen the relevant page and inspect persisted data.
5. Verify UI feedback, permissions, notifications and audit records where applicable.</t>
        </is>
      </c>
      <c r="K16" s="14" t="inlineStr">
        <is>
          <t xml:space="preserve">owner@example.test; employee@example.test; invalid/expired tokens</t>
        </is>
      </c>
      <c r="L16" s="14" t="inlineStr">
        <is>
          <t xml:space="preserve">Reset is rejected safely and a new request can be started.</t>
        </is>
      </c>
      <c r="M16" s="14" t="inlineStr">
        <is>
          <t xml:space="preserve">Candidate</t>
        </is>
      </c>
      <c r="N16" s="14" t="inlineStr">
        <is>
          <t xml:space="preserve">Yes</t>
        </is>
      </c>
      <c r="O16" s="14" t="inlineStr">
        <is>
          <t xml:space="preserve">Active</t>
        </is>
      </c>
      <c r="P16" s="14"/>
    </row>
    <row r="17">
      <c r="A17" s="14" t="inlineStr">
        <is>
          <t xml:space="preserve">RR-0016</t>
        </is>
      </c>
      <c r="B17" s="14" t="inlineStr">
        <is>
          <t xml:space="preserve">Authentication &amp; Accounts</t>
        </is>
      </c>
      <c r="C17" s="14" t="inlineStr">
        <is>
          <t xml:space="preserve">Sign-in, sessions and recovery</t>
        </is>
      </c>
      <c r="D17" s="14" t="inlineStr">
        <is>
          <t xml:space="preserve">Security</t>
        </is>
      </c>
      <c r="E17" s="14" t="inlineStr">
        <is>
          <t xml:space="preserve">Change password while signed in</t>
        </is>
      </c>
      <c r="F17" s="14" t="inlineStr">
        <is>
          <t xml:space="preserve">High</t>
        </is>
      </c>
      <c r="G17" s="14" t="inlineStr">
        <is>
          <t xml:space="preserve">Medium</t>
        </is>
      </c>
      <c r="H17" s="14" t="inlineStr">
        <is>
          <t xml:space="preserve">Beta</t>
        </is>
      </c>
      <c r="I17" s="14" t="inlineStr">
        <is>
          <t xml:space="preserve">Staging environment; email delivery enabled; test user is signed out.</t>
        </is>
      </c>
      <c r="J17" s="14" t="inlineStr">
        <is>
          <t xml:space="preserve">1. Prepare the stated preconditions and sign in with the required role.
2. Navigate to Sign-in, sessions and recovery.
3. Execute: Change password while signed in.
4. Refresh or reopen the relevant page and inspect persisted data.
5. Verify UI feedback, permissions, notifications and audit records where applicable.</t>
        </is>
      </c>
      <c r="K17" s="14" t="inlineStr">
        <is>
          <t xml:space="preserve">owner@example.test; employee@example.test; invalid/expired tokens</t>
        </is>
      </c>
      <c r="L17" s="14" t="inlineStr">
        <is>
          <t xml:space="preserve">Password updates and other active sessions are invalidated according to policy.</t>
        </is>
      </c>
      <c r="M17" s="14" t="inlineStr">
        <is>
          <t xml:space="preserve">Candidate</t>
        </is>
      </c>
      <c r="N17" s="14" t="inlineStr">
        <is>
          <t xml:space="preserve">Yes</t>
        </is>
      </c>
      <c r="O17" s="14" t="inlineStr">
        <is>
          <t xml:space="preserve">Active</t>
        </is>
      </c>
      <c r="P17" s="14"/>
    </row>
    <row r="18">
      <c r="A18" s="14" t="inlineStr">
        <is>
          <t xml:space="preserve">RR-0017</t>
        </is>
      </c>
      <c r="B18" s="14" t="inlineStr">
        <is>
          <t xml:space="preserve">Authentication &amp; Accounts</t>
        </is>
      </c>
      <c r="C18" s="14" t="inlineStr">
        <is>
          <t xml:space="preserve">Sign-in, sessions and recovery</t>
        </is>
      </c>
      <c r="D18" s="14" t="inlineStr">
        <is>
          <t xml:space="preserve">Functional</t>
        </is>
      </c>
      <c r="E18" s="14" t="inlineStr">
        <is>
          <t xml:space="preserve">Log out</t>
        </is>
      </c>
      <c r="F18" s="14" t="inlineStr">
        <is>
          <t xml:space="preserve">Critical</t>
        </is>
      </c>
      <c r="G18" s="14" t="inlineStr">
        <is>
          <t xml:space="preserve">Medium</t>
        </is>
      </c>
      <c r="H18" s="14" t="inlineStr">
        <is>
          <t xml:space="preserve">Beta</t>
        </is>
      </c>
      <c r="I18" s="14" t="inlineStr">
        <is>
          <t xml:space="preserve">Staging environment; email delivery enabled; test user is signed out.</t>
        </is>
      </c>
      <c r="J18" s="14" t="inlineStr">
        <is>
          <t xml:space="preserve">1. Prepare the stated preconditions and sign in with the required role.
2. Navigate to Sign-in, sessions and recovery.
3. Execute: Log out.
4. Refresh or reopen the relevant page and inspect persisted data.
5. Verify UI feedback, permissions, notifications and audit records where applicable.</t>
        </is>
      </c>
      <c r="K18" s="14" t="inlineStr">
        <is>
          <t xml:space="preserve">owner@example.test; employee@example.test; invalid/expired tokens</t>
        </is>
      </c>
      <c r="L18" s="14" t="inlineStr">
        <is>
          <t xml:space="preserve">Session cookies/tokens are invalidated and protected routes redirect to sign-in.</t>
        </is>
      </c>
      <c r="M18" s="14" t="inlineStr">
        <is>
          <t xml:space="preserve">Candidate</t>
        </is>
      </c>
      <c r="N18" s="14" t="inlineStr">
        <is>
          <t xml:space="preserve">Yes</t>
        </is>
      </c>
      <c r="O18" s="14" t="inlineStr">
        <is>
          <t xml:space="preserve">Active</t>
        </is>
      </c>
      <c r="P18" s="14"/>
    </row>
    <row r="19">
      <c r="A19" s="14" t="inlineStr">
        <is>
          <t xml:space="preserve">RR-0018</t>
        </is>
      </c>
      <c r="B19" s="14" t="inlineStr">
        <is>
          <t xml:space="preserve">Authentication &amp; Accounts</t>
        </is>
      </c>
      <c r="C19" s="14" t="inlineStr">
        <is>
          <t xml:space="preserve">Sign-in, sessions and recovery</t>
        </is>
      </c>
      <c r="D19" s="14" t="inlineStr">
        <is>
          <t xml:space="preserve">Security</t>
        </is>
      </c>
      <c r="E19" s="14" t="inlineStr">
        <is>
          <t xml:space="preserve">Attempt to access a protected route after session expiry</t>
        </is>
      </c>
      <c r="F19" s="14" t="inlineStr">
        <is>
          <t xml:space="preserve">High</t>
        </is>
      </c>
      <c r="G19" s="14" t="inlineStr">
        <is>
          <t xml:space="preserve">Medium</t>
        </is>
      </c>
      <c r="H19" s="14" t="inlineStr">
        <is>
          <t xml:space="preserve">Beta</t>
        </is>
      </c>
      <c r="I19" s="14" t="inlineStr">
        <is>
          <t xml:space="preserve">Staging environment; email delivery enabled; test user is signed out.</t>
        </is>
      </c>
      <c r="J19" s="14" t="inlineStr">
        <is>
          <t xml:space="preserve">1. Prepare the stated preconditions and sign in with the required role.
2. Navigate to Sign-in, sessions and recovery.
3. Execute: Attempt to access a protected route after session expiry.
4. Refresh or reopen the relevant page and inspect persisted data.
5. Verify UI feedback, permissions, notifications and audit records where applicable.</t>
        </is>
      </c>
      <c r="K19" s="14" t="inlineStr">
        <is>
          <t xml:space="preserve">owner@example.test; employee@example.test; invalid/expired tokens</t>
        </is>
      </c>
      <c r="L19" s="14" t="inlineStr">
        <is>
          <t xml:space="preserve">The user is redirected safely and the original destination is preserved where appropriate.</t>
        </is>
      </c>
      <c r="M19" s="14" t="inlineStr">
        <is>
          <t xml:space="preserve">Candidate</t>
        </is>
      </c>
      <c r="N19" s="14" t="inlineStr">
        <is>
          <t xml:space="preserve">Yes</t>
        </is>
      </c>
      <c r="O19" s="14" t="inlineStr">
        <is>
          <t xml:space="preserve">Active</t>
        </is>
      </c>
      <c r="P19" s="14"/>
    </row>
    <row r="20">
      <c r="A20" s="14" t="inlineStr">
        <is>
          <t xml:space="preserve">RR-0019</t>
        </is>
      </c>
      <c r="B20" s="14" t="inlineStr">
        <is>
          <t xml:space="preserve">Onboarding</t>
        </is>
      </c>
      <c r="C20" s="14" t="inlineStr">
        <is>
          <t xml:space="preserve">Organisation setup flow</t>
        </is>
      </c>
      <c r="D20" s="14" t="inlineStr">
        <is>
          <t xml:space="preserve">Functional</t>
        </is>
      </c>
      <c r="E20" s="14" t="inlineStr">
        <is>
          <t xml:space="preserve">Complete the single-workplace onboarding path</t>
        </is>
      </c>
      <c r="F20" s="14" t="inlineStr">
        <is>
          <t xml:space="preserve">Critical</t>
        </is>
      </c>
      <c r="G20" s="14" t="inlineStr">
        <is>
          <t xml:space="preserve">Medium</t>
        </is>
      </c>
      <c r="H20" s="14" t="inlineStr">
        <is>
          <t xml:space="preserve">Beta</t>
        </is>
      </c>
      <c r="I20" s="14" t="inlineStr">
        <is>
          <t xml:space="preserve">New unverified or verified owner account with no existing organisation.</t>
        </is>
      </c>
      <c r="J20" s="14" t="inlineStr">
        <is>
          <t xml:space="preserve">1. Prepare the stated preconditions and sign in with the required role.
2. Navigate to Organisation setup flow.
3. Execute: Complete the single-workplace onboarding path.
4. Refresh or reopen the relevant page and inspect persisted data.
5. Verify UI feedback, permissions, notifications and audit records where applicable.</t>
        </is>
      </c>
      <c r="K20" s="14" t="inlineStr">
        <is>
          <t xml:space="preserve">Single-location and multi-location organisation profiles</t>
        </is>
      </c>
      <c r="L20" s="14" t="inlineStr">
        <is>
          <t xml:space="preserve">Organisation, first location and owner membership are created atomically.</t>
        </is>
      </c>
      <c r="M20" s="14" t="inlineStr">
        <is>
          <t xml:space="preserve">Candidate</t>
        </is>
      </c>
      <c r="N20" s="14" t="inlineStr">
        <is>
          <t xml:space="preserve">Yes</t>
        </is>
      </c>
      <c r="O20" s="14" t="inlineStr">
        <is>
          <t xml:space="preserve">Active</t>
        </is>
      </c>
      <c r="P20" s="14"/>
    </row>
    <row r="21">
      <c r="A21" s="14" t="inlineStr">
        <is>
          <t xml:space="preserve">RR-0020</t>
        </is>
      </c>
      <c r="B21" s="14" t="inlineStr">
        <is>
          <t xml:space="preserve">Onboarding</t>
        </is>
      </c>
      <c r="C21" s="14" t="inlineStr">
        <is>
          <t xml:space="preserve">Organisation setup flow</t>
        </is>
      </c>
      <c r="D21" s="14" t="inlineStr">
        <is>
          <t xml:space="preserve">Functional</t>
        </is>
      </c>
      <c r="E21" s="14" t="inlineStr">
        <is>
          <t xml:space="preserve">Choose the multiple-workplaces path</t>
        </is>
      </c>
      <c r="F21" s="14" t="inlineStr">
        <is>
          <t xml:space="preserve">High</t>
        </is>
      </c>
      <c r="G21" s="14" t="inlineStr">
        <is>
          <t xml:space="preserve">Medium</t>
        </is>
      </c>
      <c r="H21" s="14" t="inlineStr">
        <is>
          <t xml:space="preserve">Beta</t>
        </is>
      </c>
      <c r="I21" s="14" t="inlineStr">
        <is>
          <t xml:space="preserve">New unverified or verified owner account with no existing organisation.</t>
        </is>
      </c>
      <c r="J21" s="14" t="inlineStr">
        <is>
          <t xml:space="preserve">1. Prepare the stated preconditions and sign in with the required role.
2. Navigate to Organisation setup flow.
3. Execute: Choose the multiple-workplaces path.
4. Refresh or reopen the relevant page and inspect persisted data.
5. Verify UI feedback, permissions, notifications and audit records where applicable.</t>
        </is>
      </c>
      <c r="K21" s="14" t="inlineStr">
        <is>
          <t xml:space="preserve">Single-location and multi-location organisation profiles</t>
        </is>
      </c>
      <c r="L21" s="14" t="inlineStr">
        <is>
          <t xml:space="preserve">The flow explains organisation-level setup and permits multiple locations without duplicate billing records.</t>
        </is>
      </c>
      <c r="M21" s="14" t="inlineStr">
        <is>
          <t xml:space="preserve">Candidate</t>
        </is>
      </c>
      <c r="N21" s="14" t="inlineStr">
        <is>
          <t xml:space="preserve">Yes</t>
        </is>
      </c>
      <c r="O21" s="14" t="inlineStr">
        <is>
          <t xml:space="preserve">Active</t>
        </is>
      </c>
      <c r="P21" s="14"/>
    </row>
    <row r="22">
      <c r="A22" s="14" t="inlineStr">
        <is>
          <t xml:space="preserve">RR-0021</t>
        </is>
      </c>
      <c r="B22" s="14" t="inlineStr">
        <is>
          <t xml:space="preserve">Onboarding</t>
        </is>
      </c>
      <c r="C22" s="14" t="inlineStr">
        <is>
          <t xml:space="preserve">Organisation setup flow</t>
        </is>
      </c>
      <c r="D22" s="14" t="inlineStr">
        <is>
          <t xml:space="preserve">Validation</t>
        </is>
      </c>
      <c r="E22" s="14" t="inlineStr">
        <is>
          <t xml:space="preserve">Leave a required field empty</t>
        </is>
      </c>
      <c r="F22" s="14" t="inlineStr">
        <is>
          <t xml:space="preserve">High</t>
        </is>
      </c>
      <c r="G22" s="14" t="inlineStr">
        <is>
          <t xml:space="preserve">Medium</t>
        </is>
      </c>
      <c r="H22" s="14" t="inlineStr">
        <is>
          <t xml:space="preserve">Beta</t>
        </is>
      </c>
      <c r="I22" s="14" t="inlineStr">
        <is>
          <t xml:space="preserve">New unverified or verified owner account with no existing organisation.</t>
        </is>
      </c>
      <c r="J22" s="14" t="inlineStr">
        <is>
          <t xml:space="preserve">1. Prepare the stated preconditions and sign in with the required role.
2. Navigate to Organisation setup flow.
3. Execute: Leave a required field empty.
4. Refresh or reopen the relevant page and inspect persisted data.
5. Verify UI feedback, permissions, notifications and audit records where applicable.</t>
        </is>
      </c>
      <c r="K22" s="14" t="inlineStr">
        <is>
          <t xml:space="preserve">Single-location and multi-location organisation profiles</t>
        </is>
      </c>
      <c r="L22" s="14" t="inlineStr">
        <is>
          <t xml:space="preserve">Progression is blocked with clear field-level errors.</t>
        </is>
      </c>
      <c r="M22" s="14" t="inlineStr">
        <is>
          <t xml:space="preserve">Candidate</t>
        </is>
      </c>
      <c r="N22" s="14" t="inlineStr">
        <is>
          <t xml:space="preserve">Yes</t>
        </is>
      </c>
      <c r="O22" s="14" t="inlineStr">
        <is>
          <t xml:space="preserve">Active</t>
        </is>
      </c>
      <c r="P22" s="14"/>
    </row>
    <row r="23">
      <c r="A23" s="14" t="inlineStr">
        <is>
          <t xml:space="preserve">RR-0022</t>
        </is>
      </c>
      <c r="B23" s="14" t="inlineStr">
        <is>
          <t xml:space="preserve">Onboarding</t>
        </is>
      </c>
      <c r="C23" s="14" t="inlineStr">
        <is>
          <t xml:space="preserve">Organisation setup flow</t>
        </is>
      </c>
      <c r="D23" s="14" t="inlineStr">
        <is>
          <t xml:space="preserve">Negative</t>
        </is>
      </c>
      <c r="E23" s="14" t="inlineStr">
        <is>
          <t xml:space="preserve">Use a duplicate organisation or location slug</t>
        </is>
      </c>
      <c r="F23" s="14" t="inlineStr">
        <is>
          <t xml:space="preserve">High</t>
        </is>
      </c>
      <c r="G23" s="14" t="inlineStr">
        <is>
          <t xml:space="preserve">Medium</t>
        </is>
      </c>
      <c r="H23" s="14" t="inlineStr">
        <is>
          <t xml:space="preserve">Beta</t>
        </is>
      </c>
      <c r="I23" s="14" t="inlineStr">
        <is>
          <t xml:space="preserve">New unverified or verified owner account with no existing organisation.</t>
        </is>
      </c>
      <c r="J23" s="14" t="inlineStr">
        <is>
          <t xml:space="preserve">1. Prepare the stated preconditions and sign in with the required role.
2. Navigate to Organisation setup flow.
3. Execute: Use a duplicate organisation or location slug.
4. Refresh or reopen the relevant page and inspect persisted data.
5. Verify UI feedback, permissions, notifications and audit records where applicable.</t>
        </is>
      </c>
      <c r="K23" s="14" t="inlineStr">
        <is>
          <t xml:space="preserve">Single-location and multi-location organisation profiles</t>
        </is>
      </c>
      <c r="L23" s="14" t="inlineStr">
        <is>
          <t xml:space="preserve">A unique alternative is requested or generated without overwriting existing data.</t>
        </is>
      </c>
      <c r="M23" s="14" t="inlineStr">
        <is>
          <t xml:space="preserve">Candidate</t>
        </is>
      </c>
      <c r="N23" s="14" t="inlineStr">
        <is>
          <t xml:space="preserve">Yes</t>
        </is>
      </c>
      <c r="O23" s="14" t="inlineStr">
        <is>
          <t xml:space="preserve">Active</t>
        </is>
      </c>
      <c r="P23" s="14"/>
    </row>
    <row r="24">
      <c r="A24" s="14" t="inlineStr">
        <is>
          <t xml:space="preserve">RR-0023</t>
        </is>
      </c>
      <c r="B24" s="14" t="inlineStr">
        <is>
          <t xml:space="preserve">Onboarding</t>
        </is>
      </c>
      <c r="C24" s="14" t="inlineStr">
        <is>
          <t xml:space="preserve">Organisation setup flow</t>
        </is>
      </c>
      <c r="D24" s="14" t="inlineStr">
        <is>
          <t xml:space="preserve">Functional</t>
        </is>
      </c>
      <c r="E24" s="14" t="inlineStr">
        <is>
          <t xml:space="preserve">Navigate back and forward between steps</t>
        </is>
      </c>
      <c r="F24" s="14" t="inlineStr">
        <is>
          <t xml:space="preserve">Medium</t>
        </is>
      </c>
      <c r="G24" s="14" t="inlineStr">
        <is>
          <t xml:space="preserve">Medium</t>
        </is>
      </c>
      <c r="H24" s="14" t="inlineStr">
        <is>
          <t xml:space="preserve">Beta</t>
        </is>
      </c>
      <c r="I24" s="14" t="inlineStr">
        <is>
          <t xml:space="preserve">New unverified or verified owner account with no existing organisation.</t>
        </is>
      </c>
      <c r="J24" s="14" t="inlineStr">
        <is>
          <t xml:space="preserve">1. Prepare the stated preconditions and sign in with the required role.
2. Navigate to Organisation setup flow.
3. Execute: Navigate back and forward between steps.
4. Refresh or reopen the relevant page and inspect persisted data.
5. Verify UI feedback, permissions, notifications and audit records where applicable.</t>
        </is>
      </c>
      <c r="K24" s="14" t="inlineStr">
        <is>
          <t xml:space="preserve">Single-location and multi-location organisation profiles</t>
        </is>
      </c>
      <c r="L24" s="14" t="inlineStr">
        <is>
          <t xml:space="preserve">Previously entered valid data remains intact and is not duplicated.</t>
        </is>
      </c>
      <c r="M24" s="14" t="inlineStr">
        <is>
          <t xml:space="preserve">Candidate</t>
        </is>
      </c>
      <c r="N24" s="14" t="inlineStr">
        <is>
          <t xml:space="preserve">No</t>
        </is>
      </c>
      <c r="O24" s="14" t="inlineStr">
        <is>
          <t xml:space="preserve">Active</t>
        </is>
      </c>
      <c r="P24" s="14"/>
    </row>
    <row r="25">
      <c r="A25" s="14" t="inlineStr">
        <is>
          <t xml:space="preserve">RR-0024</t>
        </is>
      </c>
      <c r="B25" s="14" t="inlineStr">
        <is>
          <t xml:space="preserve">Onboarding</t>
        </is>
      </c>
      <c r="C25" s="14" t="inlineStr">
        <is>
          <t xml:space="preserve">Organisation setup flow</t>
        </is>
      </c>
      <c r="D25" s="14" t="inlineStr">
        <is>
          <t xml:space="preserve">Reliability</t>
        </is>
      </c>
      <c r="E25" s="14" t="inlineStr">
        <is>
          <t xml:space="preserve">Refresh the browser mid-onboarding</t>
        </is>
      </c>
      <c r="F25" s="14" t="inlineStr">
        <is>
          <t xml:space="preserve">High</t>
        </is>
      </c>
      <c r="G25" s="14" t="inlineStr">
        <is>
          <t xml:space="preserve">Medium</t>
        </is>
      </c>
      <c r="H25" s="14" t="inlineStr">
        <is>
          <t xml:space="preserve">Beta</t>
        </is>
      </c>
      <c r="I25" s="14" t="inlineStr">
        <is>
          <t xml:space="preserve">New unverified or verified owner account with no existing organisation.</t>
        </is>
      </c>
      <c r="J25" s="14" t="inlineStr">
        <is>
          <t xml:space="preserve">1. Prepare the stated preconditions and sign in with the required role.
2. Navigate to Organisation setup flow.
3. Execute: Refresh the browser mid-onboarding.
4. Refresh or reopen the relevant page and inspect persisted data.
5. Verify UI feedback, permissions, notifications and audit records where applicable.</t>
        </is>
      </c>
      <c r="K25" s="14" t="inlineStr">
        <is>
          <t xml:space="preserve">Single-location and multi-location organisation profiles</t>
        </is>
      </c>
      <c r="L25" s="14" t="inlineStr">
        <is>
          <t xml:space="preserve">Progress resumes safely from the last completed step.</t>
        </is>
      </c>
      <c r="M25" s="14" t="inlineStr">
        <is>
          <t xml:space="preserve">Candidate</t>
        </is>
      </c>
      <c r="N25" s="14" t="inlineStr">
        <is>
          <t xml:space="preserve">Yes</t>
        </is>
      </c>
      <c r="O25" s="14" t="inlineStr">
        <is>
          <t xml:space="preserve">Active</t>
        </is>
      </c>
      <c r="P25" s="14"/>
    </row>
    <row r="26">
      <c r="A26" s="14" t="inlineStr">
        <is>
          <t xml:space="preserve">RR-0025</t>
        </is>
      </c>
      <c r="B26" s="14" t="inlineStr">
        <is>
          <t xml:space="preserve">Onboarding</t>
        </is>
      </c>
      <c r="C26" s="14" t="inlineStr">
        <is>
          <t xml:space="preserve">Organisation setup flow</t>
        </is>
      </c>
      <c r="D26" s="14" t="inlineStr">
        <is>
          <t xml:space="preserve">Functional</t>
        </is>
      </c>
      <c r="E26" s="14" t="inlineStr">
        <is>
          <t xml:space="preserve">Close and return to an incomplete onboarding flow</t>
        </is>
      </c>
      <c r="F26" s="14" t="inlineStr">
        <is>
          <t xml:space="preserve">High</t>
        </is>
      </c>
      <c r="G26" s="14" t="inlineStr">
        <is>
          <t xml:space="preserve">Medium</t>
        </is>
      </c>
      <c r="H26" s="14" t="inlineStr">
        <is>
          <t xml:space="preserve">Beta</t>
        </is>
      </c>
      <c r="I26" s="14" t="inlineStr">
        <is>
          <t xml:space="preserve">New unverified or verified owner account with no existing organisation.</t>
        </is>
      </c>
      <c r="J26" s="14" t="inlineStr">
        <is>
          <t xml:space="preserve">1. Prepare the stated preconditions and sign in with the required role.
2. Navigate to Organisation setup flow.
3. Execute: Close and return to an incomplete onboarding flow.
4. Refresh or reopen the relevant page and inspect persisted data.
5. Verify UI feedback, permissions, notifications and audit records where applicable.</t>
        </is>
      </c>
      <c r="K26" s="14" t="inlineStr">
        <is>
          <t xml:space="preserve">Single-location and multi-location organisation profiles</t>
        </is>
      </c>
      <c r="L26" s="14" t="inlineStr">
        <is>
          <t xml:space="preserve">The owner is returned to the correct step and partial records remain consistent.</t>
        </is>
      </c>
      <c r="M26" s="14" t="inlineStr">
        <is>
          <t xml:space="preserve">Candidate</t>
        </is>
      </c>
      <c r="N26" s="14" t="inlineStr">
        <is>
          <t xml:space="preserve">Yes</t>
        </is>
      </c>
      <c r="O26" s="14" t="inlineStr">
        <is>
          <t xml:space="preserve">Active</t>
        </is>
      </c>
      <c r="P26" s="14"/>
    </row>
    <row r="27">
      <c r="A27" s="14" t="inlineStr">
        <is>
          <t xml:space="preserve">RR-0026</t>
        </is>
      </c>
      <c r="B27" s="14" t="inlineStr">
        <is>
          <t xml:space="preserve">Onboarding</t>
        </is>
      </c>
      <c r="C27" s="14" t="inlineStr">
        <is>
          <t xml:space="preserve">Organisation setup flow</t>
        </is>
      </c>
      <c r="D27" s="14" t="inlineStr">
        <is>
          <t xml:space="preserve">Functional</t>
        </is>
      </c>
      <c r="E27" s="14" t="inlineStr">
        <is>
          <t xml:space="preserve">Create the first zone during onboarding</t>
        </is>
      </c>
      <c r="F27" s="14" t="inlineStr">
        <is>
          <t xml:space="preserve">Critical</t>
        </is>
      </c>
      <c r="G27" s="14" t="inlineStr">
        <is>
          <t xml:space="preserve">Medium</t>
        </is>
      </c>
      <c r="H27" s="14" t="inlineStr">
        <is>
          <t xml:space="preserve">Beta</t>
        </is>
      </c>
      <c r="I27" s="14" t="inlineStr">
        <is>
          <t xml:space="preserve">New unverified or verified owner account with no existing organisation.</t>
        </is>
      </c>
      <c r="J27" s="14" t="inlineStr">
        <is>
          <t xml:space="preserve">1. Prepare the stated preconditions and sign in with the required role.
2. Navigate to Organisation setup flow.
3. Execute: Create the first zone during onboarding.
4. Refresh or reopen the relevant page and inspect persisted data.
5. Verify UI feedback, permissions, notifications and audit records where applicable.</t>
        </is>
      </c>
      <c r="K27" s="14" t="inlineStr">
        <is>
          <t xml:space="preserve">Single-location and multi-location organisation profiles</t>
        </is>
      </c>
      <c r="L27" s="14" t="inlineStr">
        <is>
          <t xml:space="preserve">The zone is linked to the correct first location and appears in the rota builder.</t>
        </is>
      </c>
      <c r="M27" s="14" t="inlineStr">
        <is>
          <t xml:space="preserve">Candidate</t>
        </is>
      </c>
      <c r="N27" s="14" t="inlineStr">
        <is>
          <t xml:space="preserve">Yes</t>
        </is>
      </c>
      <c r="O27" s="14" t="inlineStr">
        <is>
          <t xml:space="preserve">Active</t>
        </is>
      </c>
      <c r="P27" s="14"/>
    </row>
    <row r="28">
      <c r="A28" s="14" t="inlineStr">
        <is>
          <t xml:space="preserve">RR-0027</t>
        </is>
      </c>
      <c r="B28" s="14" t="inlineStr">
        <is>
          <t xml:space="preserve">Onboarding</t>
        </is>
      </c>
      <c r="C28" s="14" t="inlineStr">
        <is>
          <t xml:space="preserve">Organisation setup flow</t>
        </is>
      </c>
      <c r="D28" s="14" t="inlineStr">
        <is>
          <t xml:space="preserve">Functional</t>
        </is>
      </c>
      <c r="E28" s="14" t="inlineStr">
        <is>
          <t xml:space="preserve">Skip optional invitations</t>
        </is>
      </c>
      <c r="F28" s="14" t="inlineStr">
        <is>
          <t xml:space="preserve">Medium</t>
        </is>
      </c>
      <c r="G28" s="14" t="inlineStr">
        <is>
          <t xml:space="preserve">Medium</t>
        </is>
      </c>
      <c r="H28" s="14" t="inlineStr">
        <is>
          <t xml:space="preserve">Beta</t>
        </is>
      </c>
      <c r="I28" s="14" t="inlineStr">
        <is>
          <t xml:space="preserve">New unverified or verified owner account with no existing organisation.</t>
        </is>
      </c>
      <c r="J28" s="14" t="inlineStr">
        <is>
          <t xml:space="preserve">1. Prepare the stated preconditions and sign in with the required role.
2. Navigate to Organisation setup flow.
3. Execute: Skip optional invitations.
4. Refresh or reopen the relevant page and inspect persisted data.
5. Verify UI feedback, permissions, notifications and audit records where applicable.</t>
        </is>
      </c>
      <c r="K28" s="14" t="inlineStr">
        <is>
          <t xml:space="preserve">Single-location and multi-location organisation profiles</t>
        </is>
      </c>
      <c r="L28" s="14" t="inlineStr">
        <is>
          <t xml:space="preserve">Onboarding completes and invitations remain available later.</t>
        </is>
      </c>
      <c r="M28" s="14" t="inlineStr">
        <is>
          <t xml:space="preserve">Candidate</t>
        </is>
      </c>
      <c r="N28" s="14" t="inlineStr">
        <is>
          <t xml:space="preserve">No</t>
        </is>
      </c>
      <c r="O28" s="14" t="inlineStr">
        <is>
          <t xml:space="preserve">Active</t>
        </is>
      </c>
      <c r="P28" s="14"/>
    </row>
    <row r="29">
      <c r="A29" s="14" t="inlineStr">
        <is>
          <t xml:space="preserve">RR-0028</t>
        </is>
      </c>
      <c r="B29" s="14" t="inlineStr">
        <is>
          <t xml:space="preserve">Onboarding</t>
        </is>
      </c>
      <c r="C29" s="14" t="inlineStr">
        <is>
          <t xml:space="preserve">Organisation setup flow</t>
        </is>
      </c>
      <c r="D29" s="14" t="inlineStr">
        <is>
          <t xml:space="preserve">Functional</t>
        </is>
      </c>
      <c r="E29" s="14" t="inlineStr">
        <is>
          <t xml:space="preserve">Invite employees during onboarding</t>
        </is>
      </c>
      <c r="F29" s="14" t="inlineStr">
        <is>
          <t xml:space="preserve">High</t>
        </is>
      </c>
      <c r="G29" s="14" t="inlineStr">
        <is>
          <t xml:space="preserve">Medium</t>
        </is>
      </c>
      <c r="H29" s="14" t="inlineStr">
        <is>
          <t xml:space="preserve">Beta</t>
        </is>
      </c>
      <c r="I29" s="14" t="inlineStr">
        <is>
          <t xml:space="preserve">New unverified or verified owner account with no existing organisation.</t>
        </is>
      </c>
      <c r="J29" s="14" t="inlineStr">
        <is>
          <t xml:space="preserve">1. Prepare the stated preconditions and sign in with the required role.
2. Navigate to Organisation setup flow.
3. Execute: Invite employees during onboarding.
4. Refresh or reopen the relevant page and inspect persisted data.
5. Verify UI feedback, permissions, notifications and audit records where applicable.</t>
        </is>
      </c>
      <c r="K29" s="14" t="inlineStr">
        <is>
          <t xml:space="preserve">Single-location and multi-location organisation profiles</t>
        </is>
      </c>
      <c r="L29" s="14" t="inlineStr">
        <is>
          <t xml:space="preserve">Invitations are linked to the new organisation/location and use the correct role.</t>
        </is>
      </c>
      <c r="M29" s="14" t="inlineStr">
        <is>
          <t xml:space="preserve">Candidate</t>
        </is>
      </c>
      <c r="N29" s="14" t="inlineStr">
        <is>
          <t xml:space="preserve">Yes</t>
        </is>
      </c>
      <c r="O29" s="14" t="inlineStr">
        <is>
          <t xml:space="preserve">Active</t>
        </is>
      </c>
      <c r="P29" s="14"/>
    </row>
    <row r="30">
      <c r="A30" s="14" t="inlineStr">
        <is>
          <t xml:space="preserve">RR-0029</t>
        </is>
      </c>
      <c r="B30" s="14" t="inlineStr">
        <is>
          <t xml:space="preserve">Onboarding</t>
        </is>
      </c>
      <c r="C30" s="14" t="inlineStr">
        <is>
          <t xml:space="preserve">Organisation setup flow</t>
        </is>
      </c>
      <c r="D30" s="14" t="inlineStr">
        <is>
          <t xml:space="preserve">Recovery</t>
        </is>
      </c>
      <c r="E30" s="14" t="inlineStr">
        <is>
          <t xml:space="preserve">Encounter a server error during final creation</t>
        </is>
      </c>
      <c r="F30" s="14" t="inlineStr">
        <is>
          <t xml:space="preserve">Critical</t>
        </is>
      </c>
      <c r="G30" s="14" t="inlineStr">
        <is>
          <t xml:space="preserve">Medium</t>
        </is>
      </c>
      <c r="H30" s="14" t="inlineStr">
        <is>
          <t xml:space="preserve">Beta</t>
        </is>
      </c>
      <c r="I30" s="14" t="inlineStr">
        <is>
          <t xml:space="preserve">New unverified or verified owner account with no existing organisation.</t>
        </is>
      </c>
      <c r="J30" s="14" t="inlineStr">
        <is>
          <t xml:space="preserve">1. Prepare the stated preconditions and sign in with the required role.
2. Navigate to Organisation setup flow.
3. Execute: Encounter a server error during final creation.
4. Refresh or reopen the relevant page and inspect persisted data.
5. Verify UI feedback, permissions, notifications and audit records where applicable.</t>
        </is>
      </c>
      <c r="K30" s="14" t="inlineStr">
        <is>
          <t xml:space="preserve">Single-location and multi-location organisation profiles</t>
        </is>
      </c>
      <c r="L30" s="14" t="inlineStr">
        <is>
          <t xml:space="preserve">No orphaned organisation, location, subscription or membership records remain.</t>
        </is>
      </c>
      <c r="M30" s="14" t="inlineStr">
        <is>
          <t xml:space="preserve">Candidate</t>
        </is>
      </c>
      <c r="N30" s="14" t="inlineStr">
        <is>
          <t xml:space="preserve">Yes</t>
        </is>
      </c>
      <c r="O30" s="14" t="inlineStr">
        <is>
          <t xml:space="preserve">Active</t>
        </is>
      </c>
      <c r="P30" s="14"/>
    </row>
    <row r="31">
      <c r="A31" s="14" t="inlineStr">
        <is>
          <t xml:space="preserve">RR-0030</t>
        </is>
      </c>
      <c r="B31" s="14" t="inlineStr">
        <is>
          <t xml:space="preserve">Onboarding</t>
        </is>
      </c>
      <c r="C31" s="14" t="inlineStr">
        <is>
          <t xml:space="preserve">Organisation setup flow</t>
        </is>
      </c>
      <c r="D31" s="14" t="inlineStr">
        <is>
          <t xml:space="preserve">Compatibility</t>
        </is>
      </c>
      <c r="E31" s="14" t="inlineStr">
        <is>
          <t xml:space="preserve">Complete onboarding on a narrow mobile viewport</t>
        </is>
      </c>
      <c r="F31" s="14" t="inlineStr">
        <is>
          <t xml:space="preserve">High</t>
        </is>
      </c>
      <c r="G31" s="14" t="inlineStr">
        <is>
          <t xml:space="preserve">Medium</t>
        </is>
      </c>
      <c r="H31" s="14" t="inlineStr">
        <is>
          <t xml:space="preserve">Beta</t>
        </is>
      </c>
      <c r="I31" s="14" t="inlineStr">
        <is>
          <t xml:space="preserve">New unverified or verified owner account with no existing organisation.</t>
        </is>
      </c>
      <c r="J31" s="14" t="inlineStr">
        <is>
          <t xml:space="preserve">1. Prepare the stated preconditions and sign in with the required role.
2. Navigate to Organisation setup flow.
3. Execute: Complete onboarding on a narrow mobile viewport.
4. Refresh or reopen the relevant page and inspect persisted data.
5. Verify UI feedback, permissions, notifications and audit records where applicable.</t>
        </is>
      </c>
      <c r="K31" s="14" t="inlineStr">
        <is>
          <t xml:space="preserve">Single-location and multi-location organisation profiles</t>
        </is>
      </c>
      <c r="L31" s="14" t="inlineStr">
        <is>
          <t xml:space="preserve">All controls remain usable without horizontal overflow or hidden actions.</t>
        </is>
      </c>
      <c r="M31" s="14" t="inlineStr">
        <is>
          <t xml:space="preserve">Candidate</t>
        </is>
      </c>
      <c r="N31" s="14" t="inlineStr">
        <is>
          <t xml:space="preserve">Yes</t>
        </is>
      </c>
      <c r="O31" s="14" t="inlineStr">
        <is>
          <t xml:space="preserve">Active</t>
        </is>
      </c>
      <c r="P31" s="14"/>
    </row>
    <row r="32">
      <c r="A32" s="14" t="inlineStr">
        <is>
          <t xml:space="preserve">RR-0031</t>
        </is>
      </c>
      <c r="B32" s="14" t="inlineStr">
        <is>
          <t xml:space="preserve">Organisations, Locations &amp; Zones</t>
        </is>
      </c>
      <c r="C32" s="14" t="inlineStr">
        <is>
          <t xml:space="preserve">Organisation and location management</t>
        </is>
      </c>
      <c r="D32" s="14" t="inlineStr">
        <is>
          <t xml:space="preserve">Functional</t>
        </is>
      </c>
      <c r="E32" s="14" t="inlineStr">
        <is>
          <t xml:space="preserve">Create a second location</t>
        </is>
      </c>
      <c r="F32" s="14" t="inlineStr">
        <is>
          <t xml:space="preserve">Critical</t>
        </is>
      </c>
      <c r="G32" s="14" t="inlineStr">
        <is>
          <t xml:space="preserve">Medium</t>
        </is>
      </c>
      <c r="H32" s="14" t="inlineStr">
        <is>
          <t xml:space="preserve">Beta</t>
        </is>
      </c>
      <c r="I32" s="14" t="inlineStr">
        <is>
          <t xml:space="preserve">Owner or organisation admin account; test organisation exists.</t>
        </is>
      </c>
      <c r="J32" s="14" t="inlineStr">
        <is>
          <t xml:space="preserve">1. Prepare the stated preconditions and sign in with the required role.
2. Navigate to Organisation and location management.
3. Execute: Create a second location.
4. Refresh or reopen the relevant page and inspect persisted data.
5. Verify UI feedback, permissions, notifications and audit records where applicable.</t>
        </is>
      </c>
      <c r="K32" s="14" t="inlineStr">
        <is>
          <t xml:space="preserve">Derry HQ; Belfast Branch; Bar/Floor/Management zones</t>
        </is>
      </c>
      <c r="L32" s="14" t="inlineStr">
        <is>
          <t xml:space="preserve">Location is created under the current organisation with independent settings and billing configuration.</t>
        </is>
      </c>
      <c r="M32" s="14" t="inlineStr">
        <is>
          <t xml:space="preserve">Candidate</t>
        </is>
      </c>
      <c r="N32" s="14" t="inlineStr">
        <is>
          <t xml:space="preserve">Yes</t>
        </is>
      </c>
      <c r="O32" s="14" t="inlineStr">
        <is>
          <t xml:space="preserve">Active</t>
        </is>
      </c>
      <c r="P32" s="14"/>
    </row>
    <row r="33">
      <c r="A33" s="14" t="inlineStr">
        <is>
          <t xml:space="preserve">RR-0032</t>
        </is>
      </c>
      <c r="B33" s="14" t="inlineStr">
        <is>
          <t xml:space="preserve">Organisations, Locations &amp; Zones</t>
        </is>
      </c>
      <c r="C33" s="14" t="inlineStr">
        <is>
          <t xml:space="preserve">Organisation and location management</t>
        </is>
      </c>
      <c r="D33" s="14" t="inlineStr">
        <is>
          <t xml:space="preserve">Functional</t>
        </is>
      </c>
      <c r="E33" s="14" t="inlineStr">
        <is>
          <t xml:space="preserve">Edit organisation name and contact details</t>
        </is>
      </c>
      <c r="F33" s="14" t="inlineStr">
        <is>
          <t xml:space="preserve">Medium</t>
        </is>
      </c>
      <c r="G33" s="14" t="inlineStr">
        <is>
          <t xml:space="preserve">Medium</t>
        </is>
      </c>
      <c r="H33" s="14" t="inlineStr">
        <is>
          <t xml:space="preserve">Beta</t>
        </is>
      </c>
      <c r="I33" s="14" t="inlineStr">
        <is>
          <t xml:space="preserve">Owner or organisation admin account; test organisation exists.</t>
        </is>
      </c>
      <c r="J33" s="14" t="inlineStr">
        <is>
          <t xml:space="preserve">1. Prepare the stated preconditions and sign in with the required role.
2. Navigate to Organisation and location management.
3. Execute: Edit organisation name and contact details.
4. Refresh or reopen the relevant page and inspect persisted data.
5. Verify UI feedback, permissions, notifications and audit records where applicable.</t>
        </is>
      </c>
      <c r="K33" s="14" t="inlineStr">
        <is>
          <t xml:space="preserve">Derry HQ; Belfast Branch; Bar/Floor/Management zones</t>
        </is>
      </c>
      <c r="L33" s="14" t="inlineStr">
        <is>
          <t xml:space="preserve">Changes persist and appear consistently on billing, email and admin surfaces.</t>
        </is>
      </c>
      <c r="M33" s="14" t="inlineStr">
        <is>
          <t xml:space="preserve">Candidate</t>
        </is>
      </c>
      <c r="N33" s="14" t="inlineStr">
        <is>
          <t xml:space="preserve">No</t>
        </is>
      </c>
      <c r="O33" s="14" t="inlineStr">
        <is>
          <t xml:space="preserve">Active</t>
        </is>
      </c>
      <c r="P33" s="14"/>
    </row>
    <row r="34">
      <c r="A34" s="14" t="inlineStr">
        <is>
          <t xml:space="preserve">RR-0033</t>
        </is>
      </c>
      <c r="B34" s="14" t="inlineStr">
        <is>
          <t xml:space="preserve">Organisations, Locations &amp; Zones</t>
        </is>
      </c>
      <c r="C34" s="14" t="inlineStr">
        <is>
          <t xml:space="preserve">Organisation and location management</t>
        </is>
      </c>
      <c r="D34" s="14" t="inlineStr">
        <is>
          <t xml:space="preserve">Functional</t>
        </is>
      </c>
      <c r="E34" s="14" t="inlineStr">
        <is>
          <t xml:space="preserve">Edit location name, address and timezone</t>
        </is>
      </c>
      <c r="F34" s="14" t="inlineStr">
        <is>
          <t xml:space="preserve">High</t>
        </is>
      </c>
      <c r="G34" s="14" t="inlineStr">
        <is>
          <t xml:space="preserve">Medium</t>
        </is>
      </c>
      <c r="H34" s="14" t="inlineStr">
        <is>
          <t xml:space="preserve">Beta</t>
        </is>
      </c>
      <c r="I34" s="14" t="inlineStr">
        <is>
          <t xml:space="preserve">Owner or organisation admin account; test organisation exists.</t>
        </is>
      </c>
      <c r="J34" s="14" t="inlineStr">
        <is>
          <t xml:space="preserve">1. Prepare the stated preconditions and sign in with the required role.
2. Navigate to Organisation and location management.
3. Execute: Edit location name, address and timezone.
4. Refresh or reopen the relevant page and inspect persisted data.
5. Verify UI feedback, permissions, notifications and audit records where applicable.</t>
        </is>
      </c>
      <c r="K34" s="14" t="inlineStr">
        <is>
          <t xml:space="preserve">Derry HQ; Belfast Branch; Bar/Floor/Management zones</t>
        </is>
      </c>
      <c r="L34" s="14" t="inlineStr">
        <is>
          <t xml:space="preserve">Future rota/clock timestamps use the updated timezone without changing historical instants.</t>
        </is>
      </c>
      <c r="M34" s="14" t="inlineStr">
        <is>
          <t xml:space="preserve">Candidate</t>
        </is>
      </c>
      <c r="N34" s="14" t="inlineStr">
        <is>
          <t xml:space="preserve">Yes</t>
        </is>
      </c>
      <c r="O34" s="14" t="inlineStr">
        <is>
          <t xml:space="preserve">Active</t>
        </is>
      </c>
      <c r="P34" s="14"/>
    </row>
    <row r="35">
      <c r="A35" s="14" t="inlineStr">
        <is>
          <t xml:space="preserve">RR-0034</t>
        </is>
      </c>
      <c r="B35" s="14" t="inlineStr">
        <is>
          <t xml:space="preserve">Organisations, Locations &amp; Zones</t>
        </is>
      </c>
      <c r="C35" s="14" t="inlineStr">
        <is>
          <t xml:space="preserve">Organisation and location management</t>
        </is>
      </c>
      <c r="D35" s="14" t="inlineStr">
        <is>
          <t xml:space="preserve">Validation</t>
        </is>
      </c>
      <c r="E35" s="14" t="inlineStr">
        <is>
          <t xml:space="preserve">Create two locations with the same display name</t>
        </is>
      </c>
      <c r="F35" s="14" t="inlineStr">
        <is>
          <t xml:space="preserve">Medium</t>
        </is>
      </c>
      <c r="G35" s="14" t="inlineStr">
        <is>
          <t xml:space="preserve">Medium</t>
        </is>
      </c>
      <c r="H35" s="14" t="inlineStr">
        <is>
          <t xml:space="preserve">Beta</t>
        </is>
      </c>
      <c r="I35" s="14" t="inlineStr">
        <is>
          <t xml:space="preserve">Owner or organisation admin account; test organisation exists.</t>
        </is>
      </c>
      <c r="J35" s="14" t="inlineStr">
        <is>
          <t xml:space="preserve">1. Prepare the stated preconditions and sign in with the required role.
2. Navigate to Organisation and location management.
3. Execute: Create two locations with the same display name.
4. Refresh or reopen the relevant page and inspect persisted data.
5. Verify UI feedback, permissions, notifications and audit records where applicable.</t>
        </is>
      </c>
      <c r="K35" s="14" t="inlineStr">
        <is>
          <t xml:space="preserve">Derry HQ; Belfast Branch; Bar/Floor/Management zones</t>
        </is>
      </c>
      <c r="L35" s="14" t="inlineStr">
        <is>
          <t xml:space="preserve">The system handles or rejects duplicates according to policy without ambiguous IDs.</t>
        </is>
      </c>
      <c r="M35" s="14" t="inlineStr">
        <is>
          <t xml:space="preserve">Candidate</t>
        </is>
      </c>
      <c r="N35" s="14" t="inlineStr">
        <is>
          <t xml:space="preserve">No</t>
        </is>
      </c>
      <c r="O35" s="14" t="inlineStr">
        <is>
          <t xml:space="preserve">Active</t>
        </is>
      </c>
      <c r="P35" s="14"/>
    </row>
    <row r="36">
      <c r="A36" s="14" t="inlineStr">
        <is>
          <t xml:space="preserve">RR-0035</t>
        </is>
      </c>
      <c r="B36" s="14" t="inlineStr">
        <is>
          <t xml:space="preserve">Organisations, Locations &amp; Zones</t>
        </is>
      </c>
      <c r="C36" s="14" t="inlineStr">
        <is>
          <t xml:space="preserve">Organisation and location management</t>
        </is>
      </c>
      <c r="D36" s="14" t="inlineStr">
        <is>
          <t xml:space="preserve">Functional</t>
        </is>
      </c>
      <c r="E36" s="14" t="inlineStr">
        <is>
          <t xml:space="preserve">Archive a location with no future shifts</t>
        </is>
      </c>
      <c r="F36" s="14" t="inlineStr">
        <is>
          <t xml:space="preserve">High</t>
        </is>
      </c>
      <c r="G36" s="14" t="inlineStr">
        <is>
          <t xml:space="preserve">Medium</t>
        </is>
      </c>
      <c r="H36" s="14" t="inlineStr">
        <is>
          <t xml:space="preserve">Beta</t>
        </is>
      </c>
      <c r="I36" s="14" t="inlineStr">
        <is>
          <t xml:space="preserve">Owner or organisation admin account; test organisation exists.</t>
        </is>
      </c>
      <c r="J36" s="14" t="inlineStr">
        <is>
          <t xml:space="preserve">1. Prepare the stated preconditions and sign in with the required role.
2. Navigate to Organisation and location management.
3. Execute: Archive a location with no future shifts.
4. Refresh or reopen the relevant page and inspect persisted data.
5. Verify UI feedback, permissions, notifications and audit records where applicable.</t>
        </is>
      </c>
      <c r="K36" s="14" t="inlineStr">
        <is>
          <t xml:space="preserve">Derry HQ; Belfast Branch; Bar/Floor/Management zones</t>
        </is>
      </c>
      <c r="L36" s="14" t="inlineStr">
        <is>
          <t xml:space="preserve">Location becomes unavailable for new work while historical rota and timesheet data remain readable.</t>
        </is>
      </c>
      <c r="M36" s="14" t="inlineStr">
        <is>
          <t xml:space="preserve">Candidate</t>
        </is>
      </c>
      <c r="N36" s="14" t="inlineStr">
        <is>
          <t xml:space="preserve">Yes</t>
        </is>
      </c>
      <c r="O36" s="14" t="inlineStr">
        <is>
          <t xml:space="preserve">Active</t>
        </is>
      </c>
      <c r="P36" s="14"/>
    </row>
    <row r="37">
      <c r="A37" s="14" t="inlineStr">
        <is>
          <t xml:space="preserve">RR-0036</t>
        </is>
      </c>
      <c r="B37" s="14" t="inlineStr">
        <is>
          <t xml:space="preserve">Organisations, Locations &amp; Zones</t>
        </is>
      </c>
      <c r="C37" s="14" t="inlineStr">
        <is>
          <t xml:space="preserve">Organisation and location management</t>
        </is>
      </c>
      <c r="D37" s="14" t="inlineStr">
        <is>
          <t xml:space="preserve">Negative</t>
        </is>
      </c>
      <c r="E37" s="14" t="inlineStr">
        <is>
          <t xml:space="preserve">Archive a location with future published shifts</t>
        </is>
      </c>
      <c r="F37" s="14" t="inlineStr">
        <is>
          <t xml:space="preserve">Critical</t>
        </is>
      </c>
      <c r="G37" s="14" t="inlineStr">
        <is>
          <t xml:space="preserve">Medium</t>
        </is>
      </c>
      <c r="H37" s="14" t="inlineStr">
        <is>
          <t xml:space="preserve">Beta</t>
        </is>
      </c>
      <c r="I37" s="14" t="inlineStr">
        <is>
          <t xml:space="preserve">Owner or organisation admin account; test organisation exists.</t>
        </is>
      </c>
      <c r="J37" s="14" t="inlineStr">
        <is>
          <t xml:space="preserve">1. Prepare the stated preconditions and sign in with the required role.
2. Navigate to Organisation and location management.
3. Execute: Archive a location with future published shifts.
4. Refresh or reopen the relevant page and inspect persisted data.
5. Verify UI feedback, permissions, notifications and audit records where applicable.</t>
        </is>
      </c>
      <c r="K37" s="14" t="inlineStr">
        <is>
          <t xml:space="preserve">Derry HQ; Belfast Branch; Bar/Floor/Management zones</t>
        </is>
      </c>
      <c r="L37" s="14" t="inlineStr">
        <is>
          <t xml:space="preserve">The system blocks or requires an explicit resolution and does not silently orphan shifts.</t>
        </is>
      </c>
      <c r="M37" s="14" t="inlineStr">
        <is>
          <t xml:space="preserve">Candidate</t>
        </is>
      </c>
      <c r="N37" s="14" t="inlineStr">
        <is>
          <t xml:space="preserve">Yes</t>
        </is>
      </c>
      <c r="O37" s="14" t="inlineStr">
        <is>
          <t xml:space="preserve">Active</t>
        </is>
      </c>
      <c r="P37" s="14"/>
    </row>
    <row r="38">
      <c r="A38" s="14" t="inlineStr">
        <is>
          <t xml:space="preserve">RR-0037</t>
        </is>
      </c>
      <c r="B38" s="14" t="inlineStr">
        <is>
          <t xml:space="preserve">Organisations, Locations &amp; Zones</t>
        </is>
      </c>
      <c r="C38" s="14" t="inlineStr">
        <is>
          <t xml:space="preserve">Organisation and location management</t>
        </is>
      </c>
      <c r="D38" s="14" t="inlineStr">
        <is>
          <t xml:space="preserve">Functional</t>
        </is>
      </c>
      <c r="E38" s="14" t="inlineStr">
        <is>
          <t xml:space="preserve">Reactivate an archived location</t>
        </is>
      </c>
      <c r="F38" s="14" t="inlineStr">
        <is>
          <t xml:space="preserve">Medium</t>
        </is>
      </c>
      <c r="G38" s="14" t="inlineStr">
        <is>
          <t xml:space="preserve">Medium</t>
        </is>
      </c>
      <c r="H38" s="14" t="inlineStr">
        <is>
          <t xml:space="preserve">Beta</t>
        </is>
      </c>
      <c r="I38" s="14" t="inlineStr">
        <is>
          <t xml:space="preserve">Owner or organisation admin account; test organisation exists.</t>
        </is>
      </c>
      <c r="J38" s="14" t="inlineStr">
        <is>
          <t xml:space="preserve">1. Prepare the stated preconditions and sign in with the required role.
2. Navigate to Organisation and location management.
3. Execute: Reactivate an archived location.
4. Refresh or reopen the relevant page and inspect persisted data.
5. Verify UI feedback, permissions, notifications and audit records where applicable.</t>
        </is>
      </c>
      <c r="K38" s="14" t="inlineStr">
        <is>
          <t xml:space="preserve">Derry HQ; Belfast Branch; Bar/Floor/Management zones</t>
        </is>
      </c>
      <c r="L38" s="14" t="inlineStr">
        <is>
          <t xml:space="preserve">Location returns with configuration and permitted memberships intact.</t>
        </is>
      </c>
      <c r="M38" s="14" t="inlineStr">
        <is>
          <t xml:space="preserve">Candidate</t>
        </is>
      </c>
      <c r="N38" s="14" t="inlineStr">
        <is>
          <t xml:space="preserve">No</t>
        </is>
      </c>
      <c r="O38" s="14" t="inlineStr">
        <is>
          <t xml:space="preserve">Active</t>
        </is>
      </c>
      <c r="P38" s="14"/>
    </row>
    <row r="39">
      <c r="A39" s="14" t="inlineStr">
        <is>
          <t xml:space="preserve">RR-0038</t>
        </is>
      </c>
      <c r="B39" s="14" t="inlineStr">
        <is>
          <t xml:space="preserve">Organisations, Locations &amp; Zones</t>
        </is>
      </c>
      <c r="C39" s="14" t="inlineStr">
        <is>
          <t xml:space="preserve">Organisation and location management</t>
        </is>
      </c>
      <c r="D39" s="14" t="inlineStr">
        <is>
          <t xml:space="preserve">Security</t>
        </is>
      </c>
      <c r="E39" s="14" t="inlineStr">
        <is>
          <t xml:space="preserve">Switch the active location from the global selector</t>
        </is>
      </c>
      <c r="F39" s="14" t="inlineStr">
        <is>
          <t xml:space="preserve">Critical</t>
        </is>
      </c>
      <c r="G39" s="14" t="inlineStr">
        <is>
          <t xml:space="preserve">Medium</t>
        </is>
      </c>
      <c r="H39" s="14" t="inlineStr">
        <is>
          <t xml:space="preserve">Beta</t>
        </is>
      </c>
      <c r="I39" s="14" t="inlineStr">
        <is>
          <t xml:space="preserve">Owner or organisation admin account; test organisation exists.</t>
        </is>
      </c>
      <c r="J39" s="14" t="inlineStr">
        <is>
          <t xml:space="preserve">1. Prepare the stated preconditions and sign in with the required role.
2. Navigate to Organisation and location management.
3. Execute: Switch the active location from the global selector.
4. Refresh or reopen the relevant page and inspect persisted data.
5. Verify UI feedback, permissions, notifications and audit records where applicable.</t>
        </is>
      </c>
      <c r="K39" s="14" t="inlineStr">
        <is>
          <t xml:space="preserve">Derry HQ; Belfast Branch; Bar/Floor/Management zones</t>
        </is>
      </c>
      <c r="L39" s="14" t="inlineStr">
        <is>
          <t xml:space="preserve">All location-scoped data reloads and no data from the previous location remains visible.</t>
        </is>
      </c>
      <c r="M39" s="14" t="inlineStr">
        <is>
          <t xml:space="preserve">Candidate</t>
        </is>
      </c>
      <c r="N39" s="14" t="inlineStr">
        <is>
          <t xml:space="preserve">Yes</t>
        </is>
      </c>
      <c r="O39" s="14" t="inlineStr">
        <is>
          <t xml:space="preserve">Active</t>
        </is>
      </c>
      <c r="P39" s="14"/>
    </row>
    <row r="40">
      <c r="A40" s="14" t="inlineStr">
        <is>
          <t xml:space="preserve">RR-0039</t>
        </is>
      </c>
      <c r="B40" s="14" t="inlineStr">
        <is>
          <t xml:space="preserve">Organisations, Locations &amp; Zones</t>
        </is>
      </c>
      <c r="C40" s="14" t="inlineStr">
        <is>
          <t xml:space="preserve">Organisation and location management</t>
        </is>
      </c>
      <c r="D40" s="14" t="inlineStr">
        <is>
          <t xml:space="preserve">Security</t>
        </is>
      </c>
      <c r="E40" s="14" t="inlineStr">
        <is>
          <t xml:space="preserve">Open a bookmarked URL for a location the user cannot access</t>
        </is>
      </c>
      <c r="F40" s="14" t="inlineStr">
        <is>
          <t xml:space="preserve">Critical</t>
        </is>
      </c>
      <c r="G40" s="14" t="inlineStr">
        <is>
          <t xml:space="preserve">Medium</t>
        </is>
      </c>
      <c r="H40" s="14" t="inlineStr">
        <is>
          <t xml:space="preserve">Beta</t>
        </is>
      </c>
      <c r="I40" s="14" t="inlineStr">
        <is>
          <t xml:space="preserve">Owner or organisation admin account; test organisation exists.</t>
        </is>
      </c>
      <c r="J40" s="14" t="inlineStr">
        <is>
          <t xml:space="preserve">1. Prepare the stated preconditions and sign in with the required role.
2. Navigate to Organisation and location management.
3. Execute: Open a bookmarked URL for a location the user cannot access.
4. Refresh or reopen the relevant page and inspect persisted data.
5. Verify UI feedback, permissions, notifications and audit records where applicable.</t>
        </is>
      </c>
      <c r="K40" s="14" t="inlineStr">
        <is>
          <t xml:space="preserve">Derry HQ; Belfast Branch; Bar/Floor/Management zones</t>
        </is>
      </c>
      <c r="L40" s="14" t="inlineStr">
        <is>
          <t xml:space="preserve">Access is denied and no metadata is leaked.</t>
        </is>
      </c>
      <c r="M40" s="14" t="inlineStr">
        <is>
          <t xml:space="preserve">Candidate</t>
        </is>
      </c>
      <c r="N40" s="14" t="inlineStr">
        <is>
          <t xml:space="preserve">Yes</t>
        </is>
      </c>
      <c r="O40" s="14" t="inlineStr">
        <is>
          <t xml:space="preserve">Active</t>
        </is>
      </c>
      <c r="P40" s="14"/>
    </row>
    <row r="41">
      <c r="A41" s="14" t="inlineStr">
        <is>
          <t xml:space="preserve">RR-0040</t>
        </is>
      </c>
      <c r="B41" s="14" t="inlineStr">
        <is>
          <t xml:space="preserve">Organisations, Locations &amp; Zones</t>
        </is>
      </c>
      <c r="C41" s="14" t="inlineStr">
        <is>
          <t xml:space="preserve">Zone management</t>
        </is>
      </c>
      <c r="D41" s="14" t="inlineStr">
        <is>
          <t xml:space="preserve">Functional</t>
        </is>
      </c>
      <c r="E41" s="14" t="inlineStr">
        <is>
          <t xml:space="preserve">Create Bar, Floor and Management zones</t>
        </is>
      </c>
      <c r="F41" s="14" t="inlineStr">
        <is>
          <t xml:space="preserve">Critical</t>
        </is>
      </c>
      <c r="G41" s="14" t="inlineStr">
        <is>
          <t xml:space="preserve">Medium</t>
        </is>
      </c>
      <c r="H41" s="14" t="inlineStr">
        <is>
          <t xml:space="preserve">Beta</t>
        </is>
      </c>
      <c r="I41" s="14" t="inlineStr">
        <is>
          <t xml:space="preserve">Owner or organisation admin account; test organisation exists.</t>
        </is>
      </c>
      <c r="J41" s="14" t="inlineStr">
        <is>
          <t xml:space="preserve">1. Prepare the stated preconditions and sign in with the required role.
2. Navigate to Zone management.
3. Execute: Create Bar, Floor and Management zones.
4. Refresh or reopen the relevant page and inspect persisted data.
5. Verify UI feedback, permissions, notifications and audit records where applicable.</t>
        </is>
      </c>
      <c r="K41" s="14" t="inlineStr">
        <is>
          <t xml:space="preserve">Derry HQ; Belfast Branch; Bar/Floor/Management zones</t>
        </is>
      </c>
      <c r="L41" s="14" t="inlineStr">
        <is>
          <t xml:space="preserve">Each zone is available for shifts, employee grouping and filtering.</t>
        </is>
      </c>
      <c r="M41" s="14" t="inlineStr">
        <is>
          <t xml:space="preserve">Candidate</t>
        </is>
      </c>
      <c r="N41" s="14" t="inlineStr">
        <is>
          <t xml:space="preserve">Yes</t>
        </is>
      </c>
      <c r="O41" s="14" t="inlineStr">
        <is>
          <t xml:space="preserve">Active</t>
        </is>
      </c>
      <c r="P41" s="14"/>
    </row>
    <row r="42">
      <c r="A42" s="14" t="inlineStr">
        <is>
          <t xml:space="preserve">RR-0041</t>
        </is>
      </c>
      <c r="B42" s="14" t="inlineStr">
        <is>
          <t xml:space="preserve">Organisations, Locations &amp; Zones</t>
        </is>
      </c>
      <c r="C42" s="14" t="inlineStr">
        <is>
          <t xml:space="preserve">Zone management</t>
        </is>
      </c>
      <c r="D42" s="14" t="inlineStr">
        <is>
          <t xml:space="preserve">Functional</t>
        </is>
      </c>
      <c r="E42" s="14" t="inlineStr">
        <is>
          <t xml:space="preserve">Edit a zone name and role colour</t>
        </is>
      </c>
      <c r="F42" s="14" t="inlineStr">
        <is>
          <t xml:space="preserve">High</t>
        </is>
      </c>
      <c r="G42" s="14" t="inlineStr">
        <is>
          <t xml:space="preserve">Medium</t>
        </is>
      </c>
      <c r="H42" s="14" t="inlineStr">
        <is>
          <t xml:space="preserve">Beta</t>
        </is>
      </c>
      <c r="I42" s="14" t="inlineStr">
        <is>
          <t xml:space="preserve">Owner or organisation admin account; test organisation exists.</t>
        </is>
      </c>
      <c r="J42" s="14" t="inlineStr">
        <is>
          <t xml:space="preserve">1. Prepare the stated preconditions and sign in with the required role.
2. Navigate to Zone management.
3. Execute: Edit a zone name and role colour.
4. Refresh or reopen the relevant page and inspect persisted data.
5. Verify UI feedback, permissions, notifications and audit records where applicable.</t>
        </is>
      </c>
      <c r="K42" s="14" t="inlineStr">
        <is>
          <t xml:space="preserve">Derry HQ; Belfast Branch; Bar/Floor/Management zones</t>
        </is>
      </c>
      <c r="L42" s="14" t="inlineStr">
        <is>
          <t xml:space="preserve">Existing shifts retain the zone relationship and display the updated label/colour.</t>
        </is>
      </c>
      <c r="M42" s="14" t="inlineStr">
        <is>
          <t xml:space="preserve">Candidate</t>
        </is>
      </c>
      <c r="N42" s="14" t="inlineStr">
        <is>
          <t xml:space="preserve">Yes</t>
        </is>
      </c>
      <c r="O42" s="14" t="inlineStr">
        <is>
          <t xml:space="preserve">Active</t>
        </is>
      </c>
      <c r="P42" s="14"/>
    </row>
    <row r="43">
      <c r="A43" s="14" t="inlineStr">
        <is>
          <t xml:space="preserve">RR-0042</t>
        </is>
      </c>
      <c r="B43" s="14" t="inlineStr">
        <is>
          <t xml:space="preserve">Organisations, Locations &amp; Zones</t>
        </is>
      </c>
      <c r="C43" s="14" t="inlineStr">
        <is>
          <t xml:space="preserve">Zone management</t>
        </is>
      </c>
      <c r="D43" s="14" t="inlineStr">
        <is>
          <t xml:space="preserve">Functional</t>
        </is>
      </c>
      <c r="E43" s="14" t="inlineStr">
        <is>
          <t xml:space="preserve">Reorder zones</t>
        </is>
      </c>
      <c r="F43" s="14" t="inlineStr">
        <is>
          <t xml:space="preserve">Medium</t>
        </is>
      </c>
      <c r="G43" s="14" t="inlineStr">
        <is>
          <t xml:space="preserve">Medium</t>
        </is>
      </c>
      <c r="H43" s="14" t="inlineStr">
        <is>
          <t xml:space="preserve">Beta</t>
        </is>
      </c>
      <c r="I43" s="14" t="inlineStr">
        <is>
          <t xml:space="preserve">Owner or organisation admin account; test organisation exists.</t>
        </is>
      </c>
      <c r="J43" s="14" t="inlineStr">
        <is>
          <t xml:space="preserve">1. Prepare the stated preconditions and sign in with the required role.
2. Navigate to Zone management.
3. Execute: Reorder zones.
4. Refresh or reopen the relevant page and inspect persisted data.
5. Verify UI feedback, permissions, notifications and audit records where applicable.</t>
        </is>
      </c>
      <c r="K43" s="14" t="inlineStr">
        <is>
          <t xml:space="preserve">Derry HQ; Belfast Branch; Bar/Floor/Management zones</t>
        </is>
      </c>
      <c r="L43" s="14" t="inlineStr">
        <is>
          <t xml:space="preserve">Order persists on desktop and mobile rota views.</t>
        </is>
      </c>
      <c r="M43" s="14" t="inlineStr">
        <is>
          <t xml:space="preserve">Candidate</t>
        </is>
      </c>
      <c r="N43" s="14" t="inlineStr">
        <is>
          <t xml:space="preserve">No</t>
        </is>
      </c>
      <c r="O43" s="14" t="inlineStr">
        <is>
          <t xml:space="preserve">Active</t>
        </is>
      </c>
      <c r="P43" s="14"/>
    </row>
    <row r="44">
      <c r="A44" s="14" t="inlineStr">
        <is>
          <t xml:space="preserve">RR-0043</t>
        </is>
      </c>
      <c r="B44" s="14" t="inlineStr">
        <is>
          <t xml:space="preserve">Organisations, Locations &amp; Zones</t>
        </is>
      </c>
      <c r="C44" s="14" t="inlineStr">
        <is>
          <t xml:space="preserve">Zone management</t>
        </is>
      </c>
      <c r="D44" s="14" t="inlineStr">
        <is>
          <t xml:space="preserve">Functional</t>
        </is>
      </c>
      <c r="E44" s="14" t="inlineStr">
        <is>
          <t xml:space="preserve">Archive an unused zone</t>
        </is>
      </c>
      <c r="F44" s="14" t="inlineStr">
        <is>
          <t xml:space="preserve">Medium</t>
        </is>
      </c>
      <c r="G44" s="14" t="inlineStr">
        <is>
          <t xml:space="preserve">Medium</t>
        </is>
      </c>
      <c r="H44" s="14" t="inlineStr">
        <is>
          <t xml:space="preserve">Beta</t>
        </is>
      </c>
      <c r="I44" s="14" t="inlineStr">
        <is>
          <t xml:space="preserve">Owner or organisation admin account; test organisation exists.</t>
        </is>
      </c>
      <c r="J44" s="14" t="inlineStr">
        <is>
          <t xml:space="preserve">1. Prepare the stated preconditions and sign in with the required role.
2. Navigate to Zone management.
3. Execute: Archive an unused zone.
4. Refresh or reopen the relevant page and inspect persisted data.
5. Verify UI feedback, permissions, notifications and audit records where applicable.</t>
        </is>
      </c>
      <c r="K44" s="14" t="inlineStr">
        <is>
          <t xml:space="preserve">Derry HQ; Belfast Branch; Bar/Floor/Management zones</t>
        </is>
      </c>
      <c r="L44" s="14" t="inlineStr">
        <is>
          <t xml:space="preserve">Zone disappears from new-shift choices while historical shifts remain readable.</t>
        </is>
      </c>
      <c r="M44" s="14" t="inlineStr">
        <is>
          <t xml:space="preserve">Candidate</t>
        </is>
      </c>
      <c r="N44" s="14" t="inlineStr">
        <is>
          <t xml:space="preserve">No</t>
        </is>
      </c>
      <c r="O44" s="14" t="inlineStr">
        <is>
          <t xml:space="preserve">Active</t>
        </is>
      </c>
      <c r="P44" s="14"/>
    </row>
    <row r="45">
      <c r="A45" s="14" t="inlineStr">
        <is>
          <t xml:space="preserve">RR-0044</t>
        </is>
      </c>
      <c r="B45" s="14" t="inlineStr">
        <is>
          <t xml:space="preserve">Organisations, Locations &amp; Zones</t>
        </is>
      </c>
      <c r="C45" s="14" t="inlineStr">
        <is>
          <t xml:space="preserve">Zone management</t>
        </is>
      </c>
      <c r="D45" s="14" t="inlineStr">
        <is>
          <t xml:space="preserve">Negative</t>
        </is>
      </c>
      <c r="E45" s="14" t="inlineStr">
        <is>
          <t xml:space="preserve">Archive a zone used by future shifts</t>
        </is>
      </c>
      <c r="F45" s="14" t="inlineStr">
        <is>
          <t xml:space="preserve">High</t>
        </is>
      </c>
      <c r="G45" s="14" t="inlineStr">
        <is>
          <t xml:space="preserve">Medium</t>
        </is>
      </c>
      <c r="H45" s="14" t="inlineStr">
        <is>
          <t xml:space="preserve">Beta</t>
        </is>
      </c>
      <c r="I45" s="14" t="inlineStr">
        <is>
          <t xml:space="preserve">Owner or organisation admin account; test organisation exists.</t>
        </is>
      </c>
      <c r="J45" s="14" t="inlineStr">
        <is>
          <t xml:space="preserve">1. Prepare the stated preconditions and sign in with the required role.
2. Navigate to Zone management.
3. Execute: Archive a zone used by future shifts.
4. Refresh or reopen the relevant page and inspect persisted data.
5. Verify UI feedback, permissions, notifications and audit records where applicable.</t>
        </is>
      </c>
      <c r="K45" s="14" t="inlineStr">
        <is>
          <t xml:space="preserve">Derry HQ; Belfast Branch; Bar/Floor/Management zones</t>
        </is>
      </c>
      <c r="L45" s="14" t="inlineStr">
        <is>
          <t xml:space="preserve">The system blocks the action or requires reassignment before archival.</t>
        </is>
      </c>
      <c r="M45" s="14" t="inlineStr">
        <is>
          <t xml:space="preserve">Candidate</t>
        </is>
      </c>
      <c r="N45" s="14" t="inlineStr">
        <is>
          <t xml:space="preserve">Yes</t>
        </is>
      </c>
      <c r="O45" s="14" t="inlineStr">
        <is>
          <t xml:space="preserve">Active</t>
        </is>
      </c>
      <c r="P45" s="14"/>
    </row>
    <row r="46">
      <c r="A46" s="14" t="inlineStr">
        <is>
          <t xml:space="preserve">RR-0045</t>
        </is>
      </c>
      <c r="B46" s="14" t="inlineStr">
        <is>
          <t xml:space="preserve">Organisations, Locations &amp; Zones</t>
        </is>
      </c>
      <c r="C46" s="14" t="inlineStr">
        <is>
          <t xml:space="preserve">Zone management</t>
        </is>
      </c>
      <c r="D46" s="14" t="inlineStr">
        <is>
          <t xml:space="preserve">Validation</t>
        </is>
      </c>
      <c r="E46" s="14" t="inlineStr">
        <is>
          <t xml:space="preserve">Create a zone with an empty or whitespace-only name</t>
        </is>
      </c>
      <c r="F46" s="14" t="inlineStr">
        <is>
          <t xml:space="preserve">Medium</t>
        </is>
      </c>
      <c r="G46" s="14" t="inlineStr">
        <is>
          <t xml:space="preserve">Medium</t>
        </is>
      </c>
      <c r="H46" s="14" t="inlineStr">
        <is>
          <t xml:space="preserve">Beta</t>
        </is>
      </c>
      <c r="I46" s="14" t="inlineStr">
        <is>
          <t xml:space="preserve">Owner or organisation admin account; test organisation exists.</t>
        </is>
      </c>
      <c r="J46" s="14" t="inlineStr">
        <is>
          <t xml:space="preserve">1. Prepare the stated preconditions and sign in with the required role.
2. Navigate to Zone management.
3. Execute: Create a zone with an empty or whitespace-only name.
4. Refresh or reopen the relevant page and inspect persisted data.
5. Verify UI feedback, permissions, notifications and audit records where applicable.</t>
        </is>
      </c>
      <c r="K46" s="14" t="inlineStr">
        <is>
          <t xml:space="preserve">Derry HQ; Belfast Branch; Bar/Floor/Management zones</t>
        </is>
      </c>
      <c r="L46" s="14" t="inlineStr">
        <is>
          <t xml:space="preserve">Validation prevents creation.</t>
        </is>
      </c>
      <c r="M46" s="14" t="inlineStr">
        <is>
          <t xml:space="preserve">Candidate</t>
        </is>
      </c>
      <c r="N46" s="14" t="inlineStr">
        <is>
          <t xml:space="preserve">No</t>
        </is>
      </c>
      <c r="O46" s="14" t="inlineStr">
        <is>
          <t xml:space="preserve">Active</t>
        </is>
      </c>
      <c r="P46" s="14"/>
    </row>
    <row r="47">
      <c r="A47" s="14" t="inlineStr">
        <is>
          <t xml:space="preserve">RR-0046</t>
        </is>
      </c>
      <c r="B47" s="14" t="inlineStr">
        <is>
          <t xml:space="preserve">Organisations, Locations &amp; Zones</t>
        </is>
      </c>
      <c r="C47" s="14" t="inlineStr">
        <is>
          <t xml:space="preserve">Zone management</t>
        </is>
      </c>
      <c r="D47" s="14" t="inlineStr">
        <is>
          <t xml:space="preserve">Validation</t>
        </is>
      </c>
      <c r="E47" s="14" t="inlineStr">
        <is>
          <t xml:space="preserve">Create an extremely long or Unicode zone name</t>
        </is>
      </c>
      <c r="F47" s="14" t="inlineStr">
        <is>
          <t xml:space="preserve">Low</t>
        </is>
      </c>
      <c r="G47" s="14" t="inlineStr">
        <is>
          <t xml:space="preserve">Medium</t>
        </is>
      </c>
      <c r="H47" s="14" t="inlineStr">
        <is>
          <t xml:space="preserve">Beta</t>
        </is>
      </c>
      <c r="I47" s="14" t="inlineStr">
        <is>
          <t xml:space="preserve">Owner or organisation admin account; test organisation exists.</t>
        </is>
      </c>
      <c r="J47" s="14" t="inlineStr">
        <is>
          <t xml:space="preserve">1. Prepare the stated preconditions and sign in with the required role.
2. Navigate to Zone management.
3. Execute: Create an extremely long or Unicode zone name.
4. Refresh or reopen the relevant page and inspect persisted data.
5. Verify UI feedback, permissions, notifications and audit records where applicable.</t>
        </is>
      </c>
      <c r="K47" s="14" t="inlineStr">
        <is>
          <t xml:space="preserve">Derry HQ; Belfast Branch; Bar/Floor/Management zones</t>
        </is>
      </c>
      <c r="L47" s="14" t="inlineStr">
        <is>
          <t xml:space="preserve">Length policy is enforced and supported characters render safely.</t>
        </is>
      </c>
      <c r="M47" s="14" t="inlineStr">
        <is>
          <t xml:space="preserve">Candidate</t>
        </is>
      </c>
      <c r="N47" s="14" t="inlineStr">
        <is>
          <t xml:space="preserve">No</t>
        </is>
      </c>
      <c r="O47" s="14" t="inlineStr">
        <is>
          <t xml:space="preserve">Active</t>
        </is>
      </c>
      <c r="P47" s="14"/>
    </row>
    <row r="48">
      <c r="A48" s="14" t="inlineStr">
        <is>
          <t xml:space="preserve">RR-0047</t>
        </is>
      </c>
      <c r="B48" s="14" t="inlineStr">
        <is>
          <t xml:space="preserve">Organisations, Locations &amp; Zones</t>
        </is>
      </c>
      <c r="C48" s="14" t="inlineStr">
        <is>
          <t xml:space="preserve">Zone management</t>
        </is>
      </c>
      <c r="D48" s="14" t="inlineStr">
        <is>
          <t xml:space="preserve">Functional</t>
        </is>
      </c>
      <c r="E48" s="14" t="inlineStr">
        <is>
          <t xml:space="preserve">Move an employee between zone groups</t>
        </is>
      </c>
      <c r="F48" s="14" t="inlineStr">
        <is>
          <t xml:space="preserve">High</t>
        </is>
      </c>
      <c r="G48" s="14" t="inlineStr">
        <is>
          <t xml:space="preserve">Medium</t>
        </is>
      </c>
      <c r="H48" s="14" t="inlineStr">
        <is>
          <t xml:space="preserve">Beta</t>
        </is>
      </c>
      <c r="I48" s="14" t="inlineStr">
        <is>
          <t xml:space="preserve">Owner or organisation admin account; test organisation exists.</t>
        </is>
      </c>
      <c r="J48" s="14" t="inlineStr">
        <is>
          <t xml:space="preserve">1. Prepare the stated preconditions and sign in with the required role.
2. Navigate to Zone management.
3. Execute: Move an employee between zone groups.
4. Refresh or reopen the relevant page and inspect persisted data.
5. Verify UI feedback, permissions, notifications and audit records where applicable.</t>
        </is>
      </c>
      <c r="K48" s="14" t="inlineStr">
        <is>
          <t xml:space="preserve">Derry HQ; Belfast Branch; Bar/Floor/Management zones</t>
        </is>
      </c>
      <c r="L48" s="14" t="inlineStr">
        <is>
          <t xml:space="preserve">Employee grouping updates without changing their location membership or historical shifts.</t>
        </is>
      </c>
      <c r="M48" s="14" t="inlineStr">
        <is>
          <t xml:space="preserve">Candidate</t>
        </is>
      </c>
      <c r="N48" s="14" t="inlineStr">
        <is>
          <t xml:space="preserve">Yes</t>
        </is>
      </c>
      <c r="O48" s="14" t="inlineStr">
        <is>
          <t xml:space="preserve">Active</t>
        </is>
      </c>
      <c r="P48" s="14"/>
    </row>
    <row r="49">
      <c r="A49" s="14" t="inlineStr">
        <is>
          <t xml:space="preserve">RR-0048</t>
        </is>
      </c>
      <c r="B49" s="14" t="inlineStr">
        <is>
          <t xml:space="preserve">Organisations, Locations &amp; Zones</t>
        </is>
      </c>
      <c r="C49" s="14" t="inlineStr">
        <is>
          <t xml:space="preserve">Zone management</t>
        </is>
      </c>
      <c r="D49" s="14" t="inlineStr">
        <is>
          <t xml:space="preserve">Functional</t>
        </is>
      </c>
      <c r="E49" s="14" t="inlineStr">
        <is>
          <t xml:space="preserve">Filter the rota by one or multiple zones</t>
        </is>
      </c>
      <c r="F49" s="14" t="inlineStr">
        <is>
          <t xml:space="preserve">High</t>
        </is>
      </c>
      <c r="G49" s="14" t="inlineStr">
        <is>
          <t xml:space="preserve">Medium</t>
        </is>
      </c>
      <c r="H49" s="14" t="inlineStr">
        <is>
          <t xml:space="preserve">Beta</t>
        </is>
      </c>
      <c r="I49" s="14" t="inlineStr">
        <is>
          <t xml:space="preserve">Owner or organisation admin account; test organisation exists.</t>
        </is>
      </c>
      <c r="J49" s="14" t="inlineStr">
        <is>
          <t xml:space="preserve">1. Prepare the stated preconditions and sign in with the required role.
2. Navigate to Zone management.
3. Execute: Filter the rota by one or multiple zones.
4. Refresh or reopen the relevant page and inspect persisted data.
5. Verify UI feedback, permissions, notifications and audit records where applicable.</t>
        </is>
      </c>
      <c r="K49" s="14" t="inlineStr">
        <is>
          <t xml:space="preserve">Derry HQ; Belfast Branch; Bar/Floor/Management zones</t>
        </is>
      </c>
      <c r="L49" s="14" t="inlineStr">
        <is>
          <t xml:space="preserve">Only matching shifts/employees display and totals recalculate correctly.</t>
        </is>
      </c>
      <c r="M49" s="14" t="inlineStr">
        <is>
          <t xml:space="preserve">Candidate</t>
        </is>
      </c>
      <c r="N49" s="14" t="inlineStr">
        <is>
          <t xml:space="preserve">Yes</t>
        </is>
      </c>
      <c r="O49" s="14" t="inlineStr">
        <is>
          <t xml:space="preserve">Active</t>
        </is>
      </c>
      <c r="P49" s="14"/>
    </row>
    <row r="50">
      <c r="A50" s="14" t="inlineStr">
        <is>
          <t xml:space="preserve">RR-0049</t>
        </is>
      </c>
      <c r="B50" s="14" t="inlineStr">
        <is>
          <t xml:space="preserve">Employees &amp; Invitations</t>
        </is>
      </c>
      <c r="C50" s="14" t="inlineStr">
        <is>
          <t xml:space="preserve">Employee records and memberships</t>
        </is>
      </c>
      <c r="D50" s="14" t="inlineStr">
        <is>
          <t xml:space="preserve">Functional</t>
        </is>
      </c>
      <c r="E50" s="14" t="inlineStr">
        <is>
          <t xml:space="preserve">Add an employee manually with valid details</t>
        </is>
      </c>
      <c r="F50" s="14" t="inlineStr">
        <is>
          <t xml:space="preserve">Critical</t>
        </is>
      </c>
      <c r="G50" s="14" t="inlineStr">
        <is>
          <t xml:space="preserve">Medium</t>
        </is>
      </c>
      <c r="H50" s="14" t="inlineStr">
        <is>
          <t xml:space="preserve">Beta</t>
        </is>
      </c>
      <c r="I50" s="14" t="inlineStr">
        <is>
          <t xml:space="preserve">Manager account with employee-management permission; test location exists.</t>
        </is>
      </c>
      <c r="J50" s="14" t="inlineStr">
        <is>
          <t xml:space="preserve">1. Prepare the stated preconditions and sign in with the required role.
2. Navigate to Employee records and memberships.
3. Execute: Add an employee manually with valid details.
4. Refresh or reopen the relevant page and inspect persisted data.
5. Verify UI feedback, permissions, notifications and audit records where applicable.</t>
        </is>
      </c>
      <c r="K50" s="14" t="inlineStr">
        <is>
          <t xml:space="preserve">Active, inactive, cross-location and unassigned employees</t>
        </is>
      </c>
      <c r="L50" s="14" t="inlineStr">
        <is>
          <t xml:space="preserve">Employee and location membership are created once and appear in employee lists.</t>
        </is>
      </c>
      <c r="M50" s="14" t="inlineStr">
        <is>
          <t xml:space="preserve">Candidate</t>
        </is>
      </c>
      <c r="N50" s="14" t="inlineStr">
        <is>
          <t xml:space="preserve">Yes</t>
        </is>
      </c>
      <c r="O50" s="14" t="inlineStr">
        <is>
          <t xml:space="preserve">Active</t>
        </is>
      </c>
      <c r="P50" s="14"/>
    </row>
    <row r="51">
      <c r="A51" s="14" t="inlineStr">
        <is>
          <t xml:space="preserve">RR-0050</t>
        </is>
      </c>
      <c r="B51" s="14" t="inlineStr">
        <is>
          <t xml:space="preserve">Employees &amp; Invitations</t>
        </is>
      </c>
      <c r="C51" s="14" t="inlineStr">
        <is>
          <t xml:space="preserve">Employee records and memberships</t>
        </is>
      </c>
      <c r="D51" s="14" t="inlineStr">
        <is>
          <t xml:space="preserve">Negative</t>
        </is>
      </c>
      <c r="E51" s="14" t="inlineStr">
        <is>
          <t xml:space="preserve">Add an employee using an email already in the organisation</t>
        </is>
      </c>
      <c r="F51" s="14" t="inlineStr">
        <is>
          <t xml:space="preserve">Critical</t>
        </is>
      </c>
      <c r="G51" s="14" t="inlineStr">
        <is>
          <t xml:space="preserve">Medium</t>
        </is>
      </c>
      <c r="H51" s="14" t="inlineStr">
        <is>
          <t xml:space="preserve">Beta</t>
        </is>
      </c>
      <c r="I51" s="14" t="inlineStr">
        <is>
          <t xml:space="preserve">Manager account with employee-management permission; test location exists.</t>
        </is>
      </c>
      <c r="J51" s="14" t="inlineStr">
        <is>
          <t xml:space="preserve">1. Prepare the stated preconditions and sign in with the required role.
2. Navigate to Employee records and memberships.
3. Execute: Add an employee using an email already in the organisation.
4. Refresh or reopen the relevant page and inspect persisted data.
5. Verify UI feedback, permissions, notifications and audit records where applicable.</t>
        </is>
      </c>
      <c r="K51" s="14" t="inlineStr">
        <is>
          <t xml:space="preserve">Active, inactive, cross-location and unassigned employees</t>
        </is>
      </c>
      <c r="L51" s="14" t="inlineStr">
        <is>
          <t xml:space="preserve">The existing identity is reused or the duplicate is rejected without creating a second person.</t>
        </is>
      </c>
      <c r="M51" s="14" t="inlineStr">
        <is>
          <t xml:space="preserve">Candidate</t>
        </is>
      </c>
      <c r="N51" s="14" t="inlineStr">
        <is>
          <t xml:space="preserve">Yes</t>
        </is>
      </c>
      <c r="O51" s="14" t="inlineStr">
        <is>
          <t xml:space="preserve">Active</t>
        </is>
      </c>
      <c r="P51" s="14"/>
    </row>
    <row r="52">
      <c r="A52" s="14" t="inlineStr">
        <is>
          <t xml:space="preserve">RR-0051</t>
        </is>
      </c>
      <c r="B52" s="14" t="inlineStr">
        <is>
          <t xml:space="preserve">Employees &amp; Invitations</t>
        </is>
      </c>
      <c r="C52" s="14" t="inlineStr">
        <is>
          <t xml:space="preserve">Employee records and memberships</t>
        </is>
      </c>
      <c r="D52" s="14" t="inlineStr">
        <is>
          <t xml:space="preserve">Functional</t>
        </is>
      </c>
      <c r="E52" s="14" t="inlineStr">
        <is>
          <t xml:space="preserve">Add the same employee to a second location</t>
        </is>
      </c>
      <c r="F52" s="14" t="inlineStr">
        <is>
          <t xml:space="preserve">Critical</t>
        </is>
      </c>
      <c r="G52" s="14" t="inlineStr">
        <is>
          <t xml:space="preserve">Medium</t>
        </is>
      </c>
      <c r="H52" s="14" t="inlineStr">
        <is>
          <t xml:space="preserve">Beta</t>
        </is>
      </c>
      <c r="I52" s="14" t="inlineStr">
        <is>
          <t xml:space="preserve">Manager account with employee-management permission; test location exists.</t>
        </is>
      </c>
      <c r="J52" s="14" t="inlineStr">
        <is>
          <t xml:space="preserve">1. Prepare the stated preconditions and sign in with the required role.
2. Navigate to Employee records and memberships.
3. Execute: Add the same employee to a second location.
4. Refresh or reopen the relevant page and inspect persisted data.
5. Verify UI feedback, permissions, notifications and audit records where applicable.</t>
        </is>
      </c>
      <c r="K52" s="14" t="inlineStr">
        <is>
          <t xml:space="preserve">Active, inactive, cross-location and unassigned employees</t>
        </is>
      </c>
      <c r="L52" s="14" t="inlineStr">
        <is>
          <t xml:space="preserve">One employee identity has two location memberships and can be scheduled at both.</t>
        </is>
      </c>
      <c r="M52" s="14" t="inlineStr">
        <is>
          <t xml:space="preserve">Candidate</t>
        </is>
      </c>
      <c r="N52" s="14" t="inlineStr">
        <is>
          <t xml:space="preserve">Yes</t>
        </is>
      </c>
      <c r="O52" s="14" t="inlineStr">
        <is>
          <t xml:space="preserve">Active</t>
        </is>
      </c>
      <c r="P52" s="14"/>
    </row>
    <row r="53">
      <c r="A53" s="14" t="inlineStr">
        <is>
          <t xml:space="preserve">RR-0052</t>
        </is>
      </c>
      <c r="B53" s="14" t="inlineStr">
        <is>
          <t xml:space="preserve">Employees &amp; Invitations</t>
        </is>
      </c>
      <c r="C53" s="14" t="inlineStr">
        <is>
          <t xml:space="preserve">Employee records and memberships</t>
        </is>
      </c>
      <c r="D53" s="14" t="inlineStr">
        <is>
          <t xml:space="preserve">Functional</t>
        </is>
      </c>
      <c r="E53" s="14" t="inlineStr">
        <is>
          <t xml:space="preserve">Set an employee active at one location and inactive at another</t>
        </is>
      </c>
      <c r="F53" s="14" t="inlineStr">
        <is>
          <t xml:space="preserve">Critical</t>
        </is>
      </c>
      <c r="G53" s="14" t="inlineStr">
        <is>
          <t xml:space="preserve">Medium</t>
        </is>
      </c>
      <c r="H53" s="14" t="inlineStr">
        <is>
          <t xml:space="preserve">Beta</t>
        </is>
      </c>
      <c r="I53" s="14" t="inlineStr">
        <is>
          <t xml:space="preserve">Manager account with employee-management permission; test location exists.</t>
        </is>
      </c>
      <c r="J53" s="14" t="inlineStr">
        <is>
          <t xml:space="preserve">1. Prepare the stated preconditions and sign in with the required role.
2. Navigate to Employee records and memberships.
3. Execute: Set an employee active at one location and inactive at another.
4. Refresh or reopen the relevant page and inspect persisted data.
5. Verify UI feedback, permissions, notifications and audit records where applicable.</t>
        </is>
      </c>
      <c r="K53" s="14" t="inlineStr">
        <is>
          <t xml:space="preserve">Active, inactive, cross-location and unassigned employees</t>
        </is>
      </c>
      <c r="L53" s="14" t="inlineStr">
        <is>
          <t xml:space="preserve">Scheduling and billing follow the per-location active state.</t>
        </is>
      </c>
      <c r="M53" s="14" t="inlineStr">
        <is>
          <t xml:space="preserve">Candidate</t>
        </is>
      </c>
      <c r="N53" s="14" t="inlineStr">
        <is>
          <t xml:space="preserve">Yes</t>
        </is>
      </c>
      <c r="O53" s="14" t="inlineStr">
        <is>
          <t xml:space="preserve">Active</t>
        </is>
      </c>
      <c r="P53" s="14"/>
    </row>
    <row r="54">
      <c r="A54" s="14" t="inlineStr">
        <is>
          <t xml:space="preserve">RR-0053</t>
        </is>
      </c>
      <c r="B54" s="14" t="inlineStr">
        <is>
          <t xml:space="preserve">Employees &amp; Invitations</t>
        </is>
      </c>
      <c r="C54" s="14" t="inlineStr">
        <is>
          <t xml:space="preserve">Employee records and memberships</t>
        </is>
      </c>
      <c r="D54" s="14" t="inlineStr">
        <is>
          <t xml:space="preserve">Functional</t>
        </is>
      </c>
      <c r="E54" s="14" t="inlineStr">
        <is>
          <t xml:space="preserve">Deactivate an employee with no future shifts</t>
        </is>
      </c>
      <c r="F54" s="14" t="inlineStr">
        <is>
          <t xml:space="preserve">High</t>
        </is>
      </c>
      <c r="G54" s="14" t="inlineStr">
        <is>
          <t xml:space="preserve">Medium</t>
        </is>
      </c>
      <c r="H54" s="14" t="inlineStr">
        <is>
          <t xml:space="preserve">Beta</t>
        </is>
      </c>
      <c r="I54" s="14" t="inlineStr">
        <is>
          <t xml:space="preserve">Manager account with employee-management permission; test location exists.</t>
        </is>
      </c>
      <c r="J54" s="14" t="inlineStr">
        <is>
          <t xml:space="preserve">1. Prepare the stated preconditions and sign in with the required role.
2. Navigate to Employee records and memberships.
3. Execute: Deactivate an employee with no future shifts.
4. Refresh or reopen the relevant page and inspect persisted data.
5. Verify UI feedback, permissions, notifications and audit records where applicable.</t>
        </is>
      </c>
      <c r="K54" s="14" t="inlineStr">
        <is>
          <t xml:space="preserve">Active, inactive, cross-location and unassigned employees</t>
        </is>
      </c>
      <c r="L54" s="14" t="inlineStr">
        <is>
          <t xml:space="preserve">They cannot be assigned new shifts and are removed from billing when policy conditions are met.</t>
        </is>
      </c>
      <c r="M54" s="14" t="inlineStr">
        <is>
          <t xml:space="preserve">Candidate</t>
        </is>
      </c>
      <c r="N54" s="14" t="inlineStr">
        <is>
          <t xml:space="preserve">Yes</t>
        </is>
      </c>
      <c r="O54" s="14" t="inlineStr">
        <is>
          <t xml:space="preserve">Active</t>
        </is>
      </c>
      <c r="P54" s="14"/>
    </row>
    <row r="55">
      <c r="A55" s="14" t="inlineStr">
        <is>
          <t xml:space="preserve">RR-0054</t>
        </is>
      </c>
      <c r="B55" s="14" t="inlineStr">
        <is>
          <t xml:space="preserve">Employees &amp; Invitations</t>
        </is>
      </c>
      <c r="C55" s="14" t="inlineStr">
        <is>
          <t xml:space="preserve">Employee records and memberships</t>
        </is>
      </c>
      <c r="D55" s="14" t="inlineStr">
        <is>
          <t xml:space="preserve">Negative</t>
        </is>
      </c>
      <c r="E55" s="14" t="inlineStr">
        <is>
          <t xml:space="preserve">Deactivate an employee with future shifts</t>
        </is>
      </c>
      <c r="F55" s="14" t="inlineStr">
        <is>
          <t xml:space="preserve">Critical</t>
        </is>
      </c>
      <c r="G55" s="14" t="inlineStr">
        <is>
          <t xml:space="preserve">Medium</t>
        </is>
      </c>
      <c r="H55" s="14" t="inlineStr">
        <is>
          <t xml:space="preserve">Beta</t>
        </is>
      </c>
      <c r="I55" s="14" t="inlineStr">
        <is>
          <t xml:space="preserve">Manager account with employee-management permission; test location exists.</t>
        </is>
      </c>
      <c r="J55" s="14" t="inlineStr">
        <is>
          <t xml:space="preserve">1. Prepare the stated preconditions and sign in with the required role.
2. Navigate to Employee records and memberships.
3. Execute: Deactivate an employee with future shifts.
4. Refresh or reopen the relevant page and inspect persisted data.
5. Verify UI feedback, permissions, notifications and audit records where applicable.</t>
        </is>
      </c>
      <c r="K55" s="14" t="inlineStr">
        <is>
          <t xml:space="preserve">Active, inactive, cross-location and unassigned employees</t>
        </is>
      </c>
      <c r="L55" s="14" t="inlineStr">
        <is>
          <t xml:space="preserve">The manager must resolve future assignments or explicitly confirm the consequence.</t>
        </is>
      </c>
      <c r="M55" s="14" t="inlineStr">
        <is>
          <t xml:space="preserve">Candidate</t>
        </is>
      </c>
      <c r="N55" s="14" t="inlineStr">
        <is>
          <t xml:space="preserve">Yes</t>
        </is>
      </c>
      <c r="O55" s="14" t="inlineStr">
        <is>
          <t xml:space="preserve">Active</t>
        </is>
      </c>
      <c r="P55" s="14"/>
    </row>
    <row r="56">
      <c r="A56" s="14" t="inlineStr">
        <is>
          <t xml:space="preserve">RR-0055</t>
        </is>
      </c>
      <c r="B56" s="14" t="inlineStr">
        <is>
          <t xml:space="preserve">Employees &amp; Invitations</t>
        </is>
      </c>
      <c r="C56" s="14" t="inlineStr">
        <is>
          <t xml:space="preserve">Employee records and memberships</t>
        </is>
      </c>
      <c r="D56" s="14" t="inlineStr">
        <is>
          <t xml:space="preserve">Functional</t>
        </is>
      </c>
      <c r="E56" s="14" t="inlineStr">
        <is>
          <t xml:space="preserve">Reactivate an employee</t>
        </is>
      </c>
      <c r="F56" s="14" t="inlineStr">
        <is>
          <t xml:space="preserve">High</t>
        </is>
      </c>
      <c r="G56" s="14" t="inlineStr">
        <is>
          <t xml:space="preserve">Medium</t>
        </is>
      </c>
      <c r="H56" s="14" t="inlineStr">
        <is>
          <t xml:space="preserve">Beta</t>
        </is>
      </c>
      <c r="I56" s="14" t="inlineStr">
        <is>
          <t xml:space="preserve">Manager account with employee-management permission; test location exists.</t>
        </is>
      </c>
      <c r="J56" s="14" t="inlineStr">
        <is>
          <t xml:space="preserve">1. Prepare the stated preconditions and sign in with the required role.
2. Navigate to Employee records and memberships.
3. Execute: Reactivate an employee.
4. Refresh or reopen the relevant page and inspect persisted data.
5. Verify UI feedback, permissions, notifications and audit records where applicable.</t>
        </is>
      </c>
      <c r="K56" s="14" t="inlineStr">
        <is>
          <t xml:space="preserve">Active, inactive, cross-location and unassigned employees</t>
        </is>
      </c>
      <c r="L56" s="14" t="inlineStr">
        <is>
          <t xml:space="preserve">The employee can be scheduled again without losing historical data.</t>
        </is>
      </c>
      <c r="M56" s="14" t="inlineStr">
        <is>
          <t xml:space="preserve">Candidate</t>
        </is>
      </c>
      <c r="N56" s="14" t="inlineStr">
        <is>
          <t xml:space="preserve">Yes</t>
        </is>
      </c>
      <c r="O56" s="14" t="inlineStr">
        <is>
          <t xml:space="preserve">Active</t>
        </is>
      </c>
      <c r="P56" s="14"/>
    </row>
    <row r="57">
      <c r="A57" s="14" t="inlineStr">
        <is>
          <t xml:space="preserve">RR-0056</t>
        </is>
      </c>
      <c r="B57" s="14" t="inlineStr">
        <is>
          <t xml:space="preserve">Employees &amp; Invitations</t>
        </is>
      </c>
      <c r="C57" s="14" t="inlineStr">
        <is>
          <t xml:space="preserve">Employee records and memberships</t>
        </is>
      </c>
      <c r="D57" s="14" t="inlineStr">
        <is>
          <t xml:space="preserve">Functional</t>
        </is>
      </c>
      <c r="E57" s="14" t="inlineStr">
        <is>
          <t xml:space="preserve">Remove an employee from the organisation</t>
        </is>
      </c>
      <c r="F57" s="14" t="inlineStr">
        <is>
          <t xml:space="preserve">Critical</t>
        </is>
      </c>
      <c r="G57" s="14" t="inlineStr">
        <is>
          <t xml:space="preserve">Medium</t>
        </is>
      </c>
      <c r="H57" s="14" t="inlineStr">
        <is>
          <t xml:space="preserve">Beta</t>
        </is>
      </c>
      <c r="I57" s="14" t="inlineStr">
        <is>
          <t xml:space="preserve">Manager account with employee-management permission; test location exists.</t>
        </is>
      </c>
      <c r="J57" s="14" t="inlineStr">
        <is>
          <t xml:space="preserve">1. Prepare the stated preconditions and sign in with the required role.
2. Navigate to Employee records and memberships.
3. Execute: Remove an employee from the organisation.
4. Refresh or reopen the relevant page and inspect persisted data.
5. Verify UI feedback, permissions, notifications and audit records where applicable.</t>
        </is>
      </c>
      <c r="K57" s="14" t="inlineStr">
        <is>
          <t xml:space="preserve">Active, inactive, cross-location and unassigned employees</t>
        </is>
      </c>
      <c r="L57" s="14" t="inlineStr">
        <is>
          <t xml:space="preserve">All location memberships are deactivated/removed while historical records remain auditable.</t>
        </is>
      </c>
      <c r="M57" s="14" t="inlineStr">
        <is>
          <t xml:space="preserve">Candidate</t>
        </is>
      </c>
      <c r="N57" s="14" t="inlineStr">
        <is>
          <t xml:space="preserve">Yes</t>
        </is>
      </c>
      <c r="O57" s="14" t="inlineStr">
        <is>
          <t xml:space="preserve">Active</t>
        </is>
      </c>
      <c r="P57" s="14"/>
    </row>
    <row r="58">
      <c r="A58" s="14" t="inlineStr">
        <is>
          <t xml:space="preserve">RR-0057</t>
        </is>
      </c>
      <c r="B58" s="14" t="inlineStr">
        <is>
          <t xml:space="preserve">Employees &amp; Invitations</t>
        </is>
      </c>
      <c r="C58" s="14" t="inlineStr">
        <is>
          <t xml:space="preserve">Employee records and memberships</t>
        </is>
      </c>
      <c r="D58" s="14" t="inlineStr">
        <is>
          <t xml:space="preserve">Functional</t>
        </is>
      </c>
      <c r="E58" s="14" t="inlineStr">
        <is>
          <t xml:space="preserve">Edit name, phone and payroll reference</t>
        </is>
      </c>
      <c r="F58" s="14" t="inlineStr">
        <is>
          <t xml:space="preserve">High</t>
        </is>
      </c>
      <c r="G58" s="14" t="inlineStr">
        <is>
          <t xml:space="preserve">Medium</t>
        </is>
      </c>
      <c r="H58" s="14" t="inlineStr">
        <is>
          <t xml:space="preserve">Beta</t>
        </is>
      </c>
      <c r="I58" s="14" t="inlineStr">
        <is>
          <t xml:space="preserve">Manager account with employee-management permission; test location exists.</t>
        </is>
      </c>
      <c r="J58" s="14" t="inlineStr">
        <is>
          <t xml:space="preserve">1. Prepare the stated preconditions and sign in with the required role.
2. Navigate to Employee records and memberships.
3. Execute: Edit name, phone and payroll reference.
4. Refresh or reopen the relevant page and inspect persisted data.
5. Verify UI feedback, permissions, notifications and audit records where applicable.</t>
        </is>
      </c>
      <c r="K58" s="14" t="inlineStr">
        <is>
          <t xml:space="preserve">Active, inactive, cross-location and unassigned employees</t>
        </is>
      </c>
      <c r="L58" s="14" t="inlineStr">
        <is>
          <t xml:space="preserve">Changes persist and dependent exports display the new values.</t>
        </is>
      </c>
      <c r="M58" s="14" t="inlineStr">
        <is>
          <t xml:space="preserve">Candidate</t>
        </is>
      </c>
      <c r="N58" s="14" t="inlineStr">
        <is>
          <t xml:space="preserve">Yes</t>
        </is>
      </c>
      <c r="O58" s="14" t="inlineStr">
        <is>
          <t xml:space="preserve">Active</t>
        </is>
      </c>
      <c r="P58" s="14"/>
    </row>
    <row r="59">
      <c r="A59" s="14" t="inlineStr">
        <is>
          <t xml:space="preserve">RR-0058</t>
        </is>
      </c>
      <c r="B59" s="14" t="inlineStr">
        <is>
          <t xml:space="preserve">Employees &amp; Invitations</t>
        </is>
      </c>
      <c r="C59" s="14" t="inlineStr">
        <is>
          <t xml:space="preserve">Employee records and memberships</t>
        </is>
      </c>
      <c r="D59" s="14" t="inlineStr">
        <is>
          <t xml:space="preserve">Functional</t>
        </is>
      </c>
      <c r="E59" s="14" t="inlineStr">
        <is>
          <t xml:space="preserve">Leave payroll reference blank</t>
        </is>
      </c>
      <c r="F59" s="14" t="inlineStr">
        <is>
          <t xml:space="preserve">Medium</t>
        </is>
      </c>
      <c r="G59" s="14" t="inlineStr">
        <is>
          <t xml:space="preserve">Medium</t>
        </is>
      </c>
      <c r="H59" s="14" t="inlineStr">
        <is>
          <t xml:space="preserve">Beta</t>
        </is>
      </c>
      <c r="I59" s="14" t="inlineStr">
        <is>
          <t xml:space="preserve">Manager account with employee-management permission; test location exists.</t>
        </is>
      </c>
      <c r="J59" s="14" t="inlineStr">
        <is>
          <t xml:space="preserve">1. Prepare the stated preconditions and sign in with the required role.
2. Navigate to Employee records and memberships.
3. Execute: Leave payroll reference blank.
4. Refresh or reopen the relevant page and inspect persisted data.
5. Verify UI feedback, permissions, notifications and audit records where applicable.</t>
        </is>
      </c>
      <c r="K59" s="14" t="inlineStr">
        <is>
          <t xml:space="preserve">Active, inactive, cross-location and unassigned employees</t>
        </is>
      </c>
      <c r="L59" s="14" t="inlineStr">
        <is>
          <t xml:space="preserve">Core scheduling still works and payroll export clearly flags the missing reference.</t>
        </is>
      </c>
      <c r="M59" s="14" t="inlineStr">
        <is>
          <t xml:space="preserve">Candidate</t>
        </is>
      </c>
      <c r="N59" s="14" t="inlineStr">
        <is>
          <t xml:space="preserve">No</t>
        </is>
      </c>
      <c r="O59" s="14" t="inlineStr">
        <is>
          <t xml:space="preserve">Active</t>
        </is>
      </c>
      <c r="P59" s="14"/>
    </row>
    <row r="60">
      <c r="A60" s="14" t="inlineStr">
        <is>
          <t xml:space="preserve">RR-0059</t>
        </is>
      </c>
      <c r="B60" s="14" t="inlineStr">
        <is>
          <t xml:space="preserve">Employees &amp; Invitations</t>
        </is>
      </c>
      <c r="C60" s="14" t="inlineStr">
        <is>
          <t xml:space="preserve">Employee records and memberships</t>
        </is>
      </c>
      <c r="D60" s="14" t="inlineStr">
        <is>
          <t xml:space="preserve">Integration</t>
        </is>
      </c>
      <c r="E60" s="14" t="inlineStr">
        <is>
          <t xml:space="preserve">Import a valid employee CSV</t>
        </is>
      </c>
      <c r="F60" s="14" t="inlineStr">
        <is>
          <t xml:space="preserve">High</t>
        </is>
      </c>
      <c r="G60" s="14" t="inlineStr">
        <is>
          <t xml:space="preserve">Medium</t>
        </is>
      </c>
      <c r="H60" s="14" t="inlineStr">
        <is>
          <t xml:space="preserve">Beta</t>
        </is>
      </c>
      <c r="I60" s="14" t="inlineStr">
        <is>
          <t xml:space="preserve">Manager account with employee-management permission; test location exists.</t>
        </is>
      </c>
      <c r="J60" s="14" t="inlineStr">
        <is>
          <t xml:space="preserve">1. Prepare the stated preconditions and sign in with the required role.
2. Navigate to Employee records and memberships.
3. Execute: Import a valid employee CSV.
4. Refresh or reopen the relevant page and inspect persisted data.
5. Verify UI feedback, permissions, notifications and audit records where applicable.</t>
        </is>
      </c>
      <c r="K60" s="14" t="inlineStr">
        <is>
          <t xml:space="preserve">Active, inactive, cross-location and unassigned employees</t>
        </is>
      </c>
      <c r="L60" s="14" t="inlineStr">
        <is>
          <t xml:space="preserve">All valid rows are created and a clear summary reports successes.</t>
        </is>
      </c>
      <c r="M60" s="14" t="inlineStr">
        <is>
          <t xml:space="preserve">Candidate</t>
        </is>
      </c>
      <c r="N60" s="14" t="inlineStr">
        <is>
          <t xml:space="preserve">Yes</t>
        </is>
      </c>
      <c r="O60" s="14" t="inlineStr">
        <is>
          <t xml:space="preserve">Active</t>
        </is>
      </c>
      <c r="P60" s="14"/>
    </row>
    <row r="61">
      <c r="A61" s="14" t="inlineStr">
        <is>
          <t xml:space="preserve">RR-0060</t>
        </is>
      </c>
      <c r="B61" s="14" t="inlineStr">
        <is>
          <t xml:space="preserve">Employees &amp; Invitations</t>
        </is>
      </c>
      <c r="C61" s="14" t="inlineStr">
        <is>
          <t xml:space="preserve">Employee records and memberships</t>
        </is>
      </c>
      <c r="D61" s="14" t="inlineStr">
        <is>
          <t xml:space="preserve">Negative</t>
        </is>
      </c>
      <c r="E61" s="14" t="inlineStr">
        <is>
          <t xml:space="preserve">Import a CSV containing duplicates and invalid rows</t>
        </is>
      </c>
      <c r="F61" s="14" t="inlineStr">
        <is>
          <t xml:space="preserve">High</t>
        </is>
      </c>
      <c r="G61" s="14" t="inlineStr">
        <is>
          <t xml:space="preserve">Medium</t>
        </is>
      </c>
      <c r="H61" s="14" t="inlineStr">
        <is>
          <t xml:space="preserve">Beta</t>
        </is>
      </c>
      <c r="I61" s="14" t="inlineStr">
        <is>
          <t xml:space="preserve">Manager account with employee-management permission; test location exists.</t>
        </is>
      </c>
      <c r="J61" s="14" t="inlineStr">
        <is>
          <t xml:space="preserve">1. Prepare the stated preconditions and sign in with the required role.
2. Navigate to Employee records and memberships.
3. Execute: Import a CSV containing duplicates and invalid rows.
4. Refresh or reopen the relevant page and inspect persisted data.
5. Verify UI feedback, permissions, notifications and audit records where applicable.</t>
        </is>
      </c>
      <c r="K61" s="14" t="inlineStr">
        <is>
          <t xml:space="preserve">Active, inactive, cross-location and unassigned employees</t>
        </is>
      </c>
      <c r="L61" s="14" t="inlineStr">
        <is>
          <t xml:space="preserve">Valid rows follow policy; invalid rows are rejected with row-level reasons and no silent corruption.</t>
        </is>
      </c>
      <c r="M61" s="14" t="inlineStr">
        <is>
          <t xml:space="preserve">Candidate</t>
        </is>
      </c>
      <c r="N61" s="14" t="inlineStr">
        <is>
          <t xml:space="preserve">Yes</t>
        </is>
      </c>
      <c r="O61" s="14" t="inlineStr">
        <is>
          <t xml:space="preserve">Active</t>
        </is>
      </c>
      <c r="P61" s="14"/>
    </row>
    <row r="62">
      <c r="A62" s="14" t="inlineStr">
        <is>
          <t xml:space="preserve">RR-0061</t>
        </is>
      </c>
      <c r="B62" s="14" t="inlineStr">
        <is>
          <t xml:space="preserve">Employees &amp; Invitations</t>
        </is>
      </c>
      <c r="C62" s="14" t="inlineStr">
        <is>
          <t xml:space="preserve">Employee records and memberships</t>
        </is>
      </c>
      <c r="D62" s="14" t="inlineStr">
        <is>
          <t xml:space="preserve">Performance</t>
        </is>
      </c>
      <c r="E62" s="14" t="inlineStr">
        <is>
          <t xml:space="preserve">Import more employees than the UI page size</t>
        </is>
      </c>
      <c r="F62" s="14" t="inlineStr">
        <is>
          <t xml:space="preserve">Medium</t>
        </is>
      </c>
      <c r="G62" s="14" t="inlineStr">
        <is>
          <t xml:space="preserve">Medium</t>
        </is>
      </c>
      <c r="H62" s="14" t="inlineStr">
        <is>
          <t xml:space="preserve">Beta</t>
        </is>
      </c>
      <c r="I62" s="14" t="inlineStr">
        <is>
          <t xml:space="preserve">Manager account with employee-management permission; test location exists.</t>
        </is>
      </c>
      <c r="J62" s="14" t="inlineStr">
        <is>
          <t xml:space="preserve">1. Prepare the stated preconditions and sign in with the required role.
2. Navigate to Employee records and memberships.
3. Execute: Import more employees than the UI page size.
4. Refresh or reopen the relevant page and inspect persisted data.
5. Verify UI feedback, permissions, notifications and audit records where applicable.</t>
        </is>
      </c>
      <c r="K62" s="14" t="inlineStr">
        <is>
          <t xml:space="preserve">Active, inactive, cross-location and unassigned employees</t>
        </is>
      </c>
      <c r="L62" s="14" t="inlineStr">
        <is>
          <t xml:space="preserve">All records are imported and searchable without truncation.</t>
        </is>
      </c>
      <c r="M62" s="14" t="inlineStr">
        <is>
          <t xml:space="preserve">Candidate</t>
        </is>
      </c>
      <c r="N62" s="14" t="inlineStr">
        <is>
          <t xml:space="preserve">No</t>
        </is>
      </c>
      <c r="O62" s="14" t="inlineStr">
        <is>
          <t xml:space="preserve">Active</t>
        </is>
      </c>
      <c r="P62" s="14"/>
    </row>
    <row r="63">
      <c r="A63" s="14" t="inlineStr">
        <is>
          <t xml:space="preserve">RR-0062</t>
        </is>
      </c>
      <c r="B63" s="14" t="inlineStr">
        <is>
          <t xml:space="preserve">Employees &amp; Invitations</t>
        </is>
      </c>
      <c r="C63" s="14" t="inlineStr">
        <is>
          <t xml:space="preserve">Invitations and joining</t>
        </is>
      </c>
      <c r="D63" s="14" t="inlineStr">
        <is>
          <t xml:space="preserve">Functional</t>
        </is>
      </c>
      <c r="E63" s="14" t="inlineStr">
        <is>
          <t xml:space="preserve">Send a valid employee invitation</t>
        </is>
      </c>
      <c r="F63" s="14" t="inlineStr">
        <is>
          <t xml:space="preserve">Critical</t>
        </is>
      </c>
      <c r="G63" s="14" t="inlineStr">
        <is>
          <t xml:space="preserve">Medium</t>
        </is>
      </c>
      <c r="H63" s="14" t="inlineStr">
        <is>
          <t xml:space="preserve">Beta</t>
        </is>
      </c>
      <c r="I63" s="14" t="inlineStr">
        <is>
          <t xml:space="preserve">Manager account with employee-management permission; test location exists.</t>
        </is>
      </c>
      <c r="J63" s="14" t="inlineStr">
        <is>
          <t xml:space="preserve">1. Prepare the stated preconditions and sign in with the required role.
2. Navigate to Invitations and joining.
3. Execute: Send a valid employee invitation.
4. Refresh or reopen the relevant page and inspect persisted data.
5. Verify UI feedback, permissions, notifications and audit records where applicable.</t>
        </is>
      </c>
      <c r="K63" s="14" t="inlineStr">
        <is>
          <t xml:space="preserve">Active, inactive, cross-location and unassigned employees</t>
        </is>
      </c>
      <c r="L63" s="14" t="inlineStr">
        <is>
          <t xml:space="preserve">A 24-hour invitation is created for the correct organisation, location and role.</t>
        </is>
      </c>
      <c r="M63" s="14" t="inlineStr">
        <is>
          <t xml:space="preserve">Candidate</t>
        </is>
      </c>
      <c r="N63" s="14" t="inlineStr">
        <is>
          <t xml:space="preserve">Yes</t>
        </is>
      </c>
      <c r="O63" s="14" t="inlineStr">
        <is>
          <t xml:space="preserve">Active</t>
        </is>
      </c>
      <c r="P63" s="14"/>
    </row>
    <row r="64">
      <c r="A64" s="14" t="inlineStr">
        <is>
          <t xml:space="preserve">RR-0063</t>
        </is>
      </c>
      <c r="B64" s="14" t="inlineStr">
        <is>
          <t xml:space="preserve">Employees &amp; Invitations</t>
        </is>
      </c>
      <c r="C64" s="14" t="inlineStr">
        <is>
          <t xml:space="preserve">Invitations and joining</t>
        </is>
      </c>
      <c r="D64" s="14" t="inlineStr">
        <is>
          <t xml:space="preserve">Functional</t>
        </is>
      </c>
      <c r="E64" s="14" t="inlineStr">
        <is>
          <t xml:space="preserve">Open an invitation before expiry</t>
        </is>
      </c>
      <c r="F64" s="14" t="inlineStr">
        <is>
          <t xml:space="preserve">Critical</t>
        </is>
      </c>
      <c r="G64" s="14" t="inlineStr">
        <is>
          <t xml:space="preserve">Medium</t>
        </is>
      </c>
      <c r="H64" s="14" t="inlineStr">
        <is>
          <t xml:space="preserve">Beta</t>
        </is>
      </c>
      <c r="I64" s="14" t="inlineStr">
        <is>
          <t xml:space="preserve">Manager account with employee-management permission; test location exists.</t>
        </is>
      </c>
      <c r="J64" s="14" t="inlineStr">
        <is>
          <t xml:space="preserve">1. Prepare the stated preconditions and sign in with the required role.
2. Navigate to Invitations and joining.
3. Execute: Open an invitation before expiry.
4. Refresh or reopen the relevant page and inspect persisted data.
5. Verify UI feedback, permissions, notifications and audit records where applicable.</t>
        </is>
      </c>
      <c r="K64" s="14" t="inlineStr">
        <is>
          <t xml:space="preserve">Active, inactive, cross-location and unassigned employees</t>
        </is>
      </c>
      <c r="L64" s="14" t="inlineStr">
        <is>
          <t xml:space="preserve">The recipient can create/link an account and joins only the intended organisation/location.</t>
        </is>
      </c>
      <c r="M64" s="14" t="inlineStr">
        <is>
          <t xml:space="preserve">Candidate</t>
        </is>
      </c>
      <c r="N64" s="14" t="inlineStr">
        <is>
          <t xml:space="preserve">Yes</t>
        </is>
      </c>
      <c r="O64" s="14" t="inlineStr">
        <is>
          <t xml:space="preserve">Active</t>
        </is>
      </c>
      <c r="P64" s="14"/>
    </row>
    <row r="65">
      <c r="A65" s="14" t="inlineStr">
        <is>
          <t xml:space="preserve">RR-0064</t>
        </is>
      </c>
      <c r="B65" s="14" t="inlineStr">
        <is>
          <t xml:space="preserve">Employees &amp; Invitations</t>
        </is>
      </c>
      <c r="C65" s="14" t="inlineStr">
        <is>
          <t xml:space="preserve">Invitations and joining</t>
        </is>
      </c>
      <c r="D65" s="14" t="inlineStr">
        <is>
          <t xml:space="preserve">Negative</t>
        </is>
      </c>
      <c r="E65" s="14" t="inlineStr">
        <is>
          <t xml:space="preserve">Open an invitation after expiry</t>
        </is>
      </c>
      <c r="F65" s="14" t="inlineStr">
        <is>
          <t xml:space="preserve">High</t>
        </is>
      </c>
      <c r="G65" s="14" t="inlineStr">
        <is>
          <t xml:space="preserve">Medium</t>
        </is>
      </c>
      <c r="H65" s="14" t="inlineStr">
        <is>
          <t xml:space="preserve">Beta</t>
        </is>
      </c>
      <c r="I65" s="14" t="inlineStr">
        <is>
          <t xml:space="preserve">Manager account with employee-management permission; test location exists.</t>
        </is>
      </c>
      <c r="J65" s="14" t="inlineStr">
        <is>
          <t xml:space="preserve">1. Prepare the stated preconditions and sign in with the required role.
2. Navigate to Invitations and joining.
3. Execute: Open an invitation after expiry.
4. Refresh or reopen the relevant page and inspect persisted data.
5. Verify UI feedback, permissions, notifications and audit records where applicable.</t>
        </is>
      </c>
      <c r="K65" s="14" t="inlineStr">
        <is>
          <t xml:space="preserve">Active, inactive, cross-location and unassigned employees</t>
        </is>
      </c>
      <c r="L65" s="14" t="inlineStr">
        <is>
          <t xml:space="preserve">The link is rejected and a new invitation can be requested.</t>
        </is>
      </c>
      <c r="M65" s="14" t="inlineStr">
        <is>
          <t xml:space="preserve">Candidate</t>
        </is>
      </c>
      <c r="N65" s="14" t="inlineStr">
        <is>
          <t xml:space="preserve">Yes</t>
        </is>
      </c>
      <c r="O65" s="14" t="inlineStr">
        <is>
          <t xml:space="preserve">Active</t>
        </is>
      </c>
      <c r="P65" s="14"/>
    </row>
    <row r="66">
      <c r="A66" s="14" t="inlineStr">
        <is>
          <t xml:space="preserve">RR-0065</t>
        </is>
      </c>
      <c r="B66" s="14" t="inlineStr">
        <is>
          <t xml:space="preserve">Employees &amp; Invitations</t>
        </is>
      </c>
      <c r="C66" s="14" t="inlineStr">
        <is>
          <t xml:space="preserve">Invitations and joining</t>
        </is>
      </c>
      <c r="D66" s="14" t="inlineStr">
        <is>
          <t xml:space="preserve">Security</t>
        </is>
      </c>
      <c r="E66" s="14" t="inlineStr">
        <is>
          <t xml:space="preserve">Use an invitation twice</t>
        </is>
      </c>
      <c r="F66" s="14" t="inlineStr">
        <is>
          <t xml:space="preserve">High</t>
        </is>
      </c>
      <c r="G66" s="14" t="inlineStr">
        <is>
          <t xml:space="preserve">Medium</t>
        </is>
      </c>
      <c r="H66" s="14" t="inlineStr">
        <is>
          <t xml:space="preserve">Beta</t>
        </is>
      </c>
      <c r="I66" s="14" t="inlineStr">
        <is>
          <t xml:space="preserve">Manager account with employee-management permission; test location exists.</t>
        </is>
      </c>
      <c r="J66" s="14" t="inlineStr">
        <is>
          <t xml:space="preserve">1. Prepare the stated preconditions and sign in with the required role.
2. Navigate to Invitations and joining.
3. Execute: Use an invitation twice.
4. Refresh or reopen the relevant page and inspect persisted data.
5. Verify UI feedback, permissions, notifications and audit records where applicable.</t>
        </is>
      </c>
      <c r="K66" s="14" t="inlineStr">
        <is>
          <t xml:space="preserve">Active, inactive, cross-location and unassigned employees</t>
        </is>
      </c>
      <c r="L66" s="14" t="inlineStr">
        <is>
          <t xml:space="preserve">The second attempt is rejected without creating duplicate memberships.</t>
        </is>
      </c>
      <c r="M66" s="14" t="inlineStr">
        <is>
          <t xml:space="preserve">Candidate</t>
        </is>
      </c>
      <c r="N66" s="14" t="inlineStr">
        <is>
          <t xml:space="preserve">Yes</t>
        </is>
      </c>
      <c r="O66" s="14" t="inlineStr">
        <is>
          <t xml:space="preserve">Active</t>
        </is>
      </c>
      <c r="P66" s="14"/>
    </row>
    <row r="67">
      <c r="A67" s="14" t="inlineStr">
        <is>
          <t xml:space="preserve">RR-0066</t>
        </is>
      </c>
      <c r="B67" s="14" t="inlineStr">
        <is>
          <t xml:space="preserve">Employees &amp; Invitations</t>
        </is>
      </c>
      <c r="C67" s="14" t="inlineStr">
        <is>
          <t xml:space="preserve">Invitations and joining</t>
        </is>
      </c>
      <c r="D67" s="14" t="inlineStr">
        <is>
          <t xml:space="preserve">Security</t>
        </is>
      </c>
      <c r="E67" s="14" t="inlineStr">
        <is>
          <t xml:space="preserve">Forward an invitation to another email</t>
        </is>
      </c>
      <c r="F67" s="14" t="inlineStr">
        <is>
          <t xml:space="preserve">Critical</t>
        </is>
      </c>
      <c r="G67" s="14" t="inlineStr">
        <is>
          <t xml:space="preserve">Medium</t>
        </is>
      </c>
      <c r="H67" s="14" t="inlineStr">
        <is>
          <t xml:space="preserve">Beta</t>
        </is>
      </c>
      <c r="I67" s="14" t="inlineStr">
        <is>
          <t xml:space="preserve">Manager account with employee-management permission; test location exists.</t>
        </is>
      </c>
      <c r="J67" s="14" t="inlineStr">
        <is>
          <t xml:space="preserve">1. Prepare the stated preconditions and sign in with the required role.
2. Navigate to Invitations and joining.
3. Execute: Forward an invitation to another email.
4. Refresh or reopen the relevant page and inspect persisted data.
5. Verify UI feedback, permissions, notifications and audit records where applicable.</t>
        </is>
      </c>
      <c r="K67" s="14" t="inlineStr">
        <is>
          <t xml:space="preserve">Active, inactive, cross-location and unassigned employees</t>
        </is>
      </c>
      <c r="L67" s="14" t="inlineStr">
        <is>
          <t xml:space="preserve">Identity checks prevent the wrong person from claiming access, according to invitation policy.</t>
        </is>
      </c>
      <c r="M67" s="14" t="inlineStr">
        <is>
          <t xml:space="preserve">Candidate</t>
        </is>
      </c>
      <c r="N67" s="14" t="inlineStr">
        <is>
          <t xml:space="preserve">Yes</t>
        </is>
      </c>
      <c r="O67" s="14" t="inlineStr">
        <is>
          <t xml:space="preserve">Active</t>
        </is>
      </c>
      <c r="P67" s="14"/>
    </row>
    <row r="68">
      <c r="A68" s="14" t="inlineStr">
        <is>
          <t xml:space="preserve">RR-0067</t>
        </is>
      </c>
      <c r="B68" s="14" t="inlineStr">
        <is>
          <t xml:space="preserve">Employees &amp; Invitations</t>
        </is>
      </c>
      <c r="C68" s="14" t="inlineStr">
        <is>
          <t xml:space="preserve">Invitations and joining</t>
        </is>
      </c>
      <c r="D68" s="14" t="inlineStr">
        <is>
          <t xml:space="preserve">Functional</t>
        </is>
      </c>
      <c r="E68" s="14" t="inlineStr">
        <is>
          <t xml:space="preserve">Resend an invitation</t>
        </is>
      </c>
      <c r="F68" s="14" t="inlineStr">
        <is>
          <t xml:space="preserve">High</t>
        </is>
      </c>
      <c r="G68" s="14" t="inlineStr">
        <is>
          <t xml:space="preserve">Medium</t>
        </is>
      </c>
      <c r="H68" s="14" t="inlineStr">
        <is>
          <t xml:space="preserve">Beta</t>
        </is>
      </c>
      <c r="I68" s="14" t="inlineStr">
        <is>
          <t xml:space="preserve">Manager account with employee-management permission; test location exists.</t>
        </is>
      </c>
      <c r="J68" s="14" t="inlineStr">
        <is>
          <t xml:space="preserve">1. Prepare the stated preconditions and sign in with the required role.
2. Navigate to Invitations and joining.
3. Execute: Resend an invitation.
4. Refresh or reopen the relevant page and inspect persisted data.
5. Verify UI feedback, permissions, notifications and audit records where applicable.</t>
        </is>
      </c>
      <c r="K68" s="14" t="inlineStr">
        <is>
          <t xml:space="preserve">Active, inactive, cross-location and unassigned employees</t>
        </is>
      </c>
      <c r="L68" s="14" t="inlineStr">
        <is>
          <t xml:space="preserve">The previous link is invalidated or remains governed by documented policy; only one membership is created.</t>
        </is>
      </c>
      <c r="M68" s="14" t="inlineStr">
        <is>
          <t xml:space="preserve">Candidate</t>
        </is>
      </c>
      <c r="N68" s="14" t="inlineStr">
        <is>
          <t xml:space="preserve">Yes</t>
        </is>
      </c>
      <c r="O68" s="14" t="inlineStr">
        <is>
          <t xml:space="preserve">Active</t>
        </is>
      </c>
      <c r="P68" s="14"/>
    </row>
    <row r="69">
      <c r="A69" s="14" t="inlineStr">
        <is>
          <t xml:space="preserve">RR-0068</t>
        </is>
      </c>
      <c r="B69" s="14" t="inlineStr">
        <is>
          <t xml:space="preserve">Employees &amp; Invitations</t>
        </is>
      </c>
      <c r="C69" s="14" t="inlineStr">
        <is>
          <t xml:space="preserve">Invitations and joining</t>
        </is>
      </c>
      <c r="D69" s="14" t="inlineStr">
        <is>
          <t xml:space="preserve">Functional</t>
        </is>
      </c>
      <c r="E69" s="14" t="inlineStr">
        <is>
          <t xml:space="preserve">Revoke a pending invitation</t>
        </is>
      </c>
      <c r="F69" s="14" t="inlineStr">
        <is>
          <t xml:space="preserve">High</t>
        </is>
      </c>
      <c r="G69" s="14" t="inlineStr">
        <is>
          <t xml:space="preserve">Medium</t>
        </is>
      </c>
      <c r="H69" s="14" t="inlineStr">
        <is>
          <t xml:space="preserve">Beta</t>
        </is>
      </c>
      <c r="I69" s="14" t="inlineStr">
        <is>
          <t xml:space="preserve">Manager account with employee-management permission; test location exists.</t>
        </is>
      </c>
      <c r="J69" s="14" t="inlineStr">
        <is>
          <t xml:space="preserve">1. Prepare the stated preconditions and sign in with the required role.
2. Navigate to Invitations and joining.
3. Execute: Revoke a pending invitation.
4. Refresh or reopen the relevant page and inspect persisted data.
5. Verify UI feedback, permissions, notifications and audit records where applicable.</t>
        </is>
      </c>
      <c r="K69" s="14" t="inlineStr">
        <is>
          <t xml:space="preserve">Active, inactive, cross-location and unassigned employees</t>
        </is>
      </c>
      <c r="L69" s="14" t="inlineStr">
        <is>
          <t xml:space="preserve">The link stops working immediately and the revocation is audited.</t>
        </is>
      </c>
      <c r="M69" s="14" t="inlineStr">
        <is>
          <t xml:space="preserve">Candidate</t>
        </is>
      </c>
      <c r="N69" s="14" t="inlineStr">
        <is>
          <t xml:space="preserve">Yes</t>
        </is>
      </c>
      <c r="O69" s="14" t="inlineStr">
        <is>
          <t xml:space="preserve">Active</t>
        </is>
      </c>
      <c r="P69" s="14"/>
    </row>
    <row r="70">
      <c r="A70" s="14" t="inlineStr">
        <is>
          <t xml:space="preserve">RR-0069</t>
        </is>
      </c>
      <c r="B70" s="14" t="inlineStr">
        <is>
          <t xml:space="preserve">Employees &amp; Invitations</t>
        </is>
      </c>
      <c r="C70" s="14" t="inlineStr">
        <is>
          <t xml:space="preserve">Invitations and joining</t>
        </is>
      </c>
      <c r="D70" s="14" t="inlineStr">
        <is>
          <t xml:space="preserve">Functional</t>
        </is>
      </c>
      <c r="E70" s="14" t="inlineStr">
        <is>
          <t xml:space="preserve">Invite an employee to multiple locations</t>
        </is>
      </c>
      <c r="F70" s="14" t="inlineStr">
        <is>
          <t xml:space="preserve">High</t>
        </is>
      </c>
      <c r="G70" s="14" t="inlineStr">
        <is>
          <t xml:space="preserve">Medium</t>
        </is>
      </c>
      <c r="H70" s="14" t="inlineStr">
        <is>
          <t xml:space="preserve">Beta</t>
        </is>
      </c>
      <c r="I70" s="14" t="inlineStr">
        <is>
          <t xml:space="preserve">Manager account with employee-management permission; test location exists.</t>
        </is>
      </c>
      <c r="J70" s="14" t="inlineStr">
        <is>
          <t xml:space="preserve">1. Prepare the stated preconditions and sign in with the required role.
2. Navigate to Invitations and joining.
3. Execute: Invite an employee to multiple locations.
4. Refresh or reopen the relevant page and inspect persisted data.
5. Verify UI feedback, permissions, notifications and audit records where applicable.</t>
        </is>
      </c>
      <c r="K70" s="14" t="inlineStr">
        <is>
          <t xml:space="preserve">Active, inactive, cross-location and unassigned employees</t>
        </is>
      </c>
      <c r="L70" s="14" t="inlineStr">
        <is>
          <t xml:space="preserve">The employee receives/accepts the intended memberships without duplicate accounts.</t>
        </is>
      </c>
      <c r="M70" s="14" t="inlineStr">
        <is>
          <t xml:space="preserve">Candidate</t>
        </is>
      </c>
      <c r="N70" s="14" t="inlineStr">
        <is>
          <t xml:space="preserve">Yes</t>
        </is>
      </c>
      <c r="O70" s="14" t="inlineStr">
        <is>
          <t xml:space="preserve">Active</t>
        </is>
      </c>
      <c r="P70" s="14"/>
    </row>
    <row r="71">
      <c r="A71" s="14" t="inlineStr">
        <is>
          <t xml:space="preserve">RR-0070</t>
        </is>
      </c>
      <c r="B71" s="14" t="inlineStr">
        <is>
          <t xml:space="preserve">Employees &amp; Invitations</t>
        </is>
      </c>
      <c r="C71" s="14" t="inlineStr">
        <is>
          <t xml:space="preserve">Invitations and joining</t>
        </is>
      </c>
      <c r="D71" s="14" t="inlineStr">
        <is>
          <t xml:space="preserve">Billing</t>
        </is>
      </c>
      <c r="E71" s="14" t="inlineStr">
        <is>
          <t xml:space="preserve">Employee joins but has no assigned shift before billing date</t>
        </is>
      </c>
      <c r="F71" s="14" t="inlineStr">
        <is>
          <t xml:space="preserve">Critical</t>
        </is>
      </c>
      <c r="G71" s="14" t="inlineStr">
        <is>
          <t xml:space="preserve">Medium</t>
        </is>
      </c>
      <c r="H71" s="14" t="inlineStr">
        <is>
          <t xml:space="preserve">Beta</t>
        </is>
      </c>
      <c r="I71" s="14" t="inlineStr">
        <is>
          <t xml:space="preserve">Manager account with employee-management permission; test location exists.</t>
        </is>
      </c>
      <c r="J71" s="14" t="inlineStr">
        <is>
          <t xml:space="preserve">1. Prepare the stated preconditions and sign in with the required role.
2. Navigate to Invitations and joining.
3. Execute: Employee joins but has no assigned shift before billing date.
4. Refresh or reopen the relevant page and inspect persisted data.
5. Verify UI feedback, permissions, notifications and audit records where applicable.</t>
        </is>
      </c>
      <c r="K71" s="14" t="inlineStr">
        <is>
          <t xml:space="preserve">Active, inactive, cross-location and unassigned employees</t>
        </is>
      </c>
      <c r="L71" s="14" t="inlineStr">
        <is>
          <t xml:space="preserve">The employee is not billed when the agreed shift-based billing policy applies.</t>
        </is>
      </c>
      <c r="M71" s="14" t="inlineStr">
        <is>
          <t xml:space="preserve">Candidate</t>
        </is>
      </c>
      <c r="N71" s="14" t="inlineStr">
        <is>
          <t xml:space="preserve">Yes</t>
        </is>
      </c>
      <c r="O71" s="14" t="inlineStr">
        <is>
          <t xml:space="preserve">Active</t>
        </is>
      </c>
      <c r="P71" s="14"/>
    </row>
    <row r="72">
      <c r="A72" s="14" t="inlineStr">
        <is>
          <t xml:space="preserve">RR-0071</t>
        </is>
      </c>
      <c r="B72" s="14" t="inlineStr">
        <is>
          <t xml:space="preserve">Employees &amp; Invitations</t>
        </is>
      </c>
      <c r="C72" s="14" t="inlineStr">
        <is>
          <t xml:space="preserve">Invitations and joining</t>
        </is>
      </c>
      <c r="D72" s="14" t="inlineStr">
        <is>
          <t xml:space="preserve">Billing</t>
        </is>
      </c>
      <c r="E72" s="14" t="inlineStr">
        <is>
          <t xml:space="preserve">Employee joins late and receives a shift before billing date</t>
        </is>
      </c>
      <c r="F72" s="14" t="inlineStr">
        <is>
          <t xml:space="preserve">Critical</t>
        </is>
      </c>
      <c r="G72" s="14" t="inlineStr">
        <is>
          <t xml:space="preserve">Medium</t>
        </is>
      </c>
      <c r="H72" s="14" t="inlineStr">
        <is>
          <t xml:space="preserve">Beta</t>
        </is>
      </c>
      <c r="I72" s="14" t="inlineStr">
        <is>
          <t xml:space="preserve">Manager account with employee-management permission; test location exists.</t>
        </is>
      </c>
      <c r="J72" s="14" t="inlineStr">
        <is>
          <t xml:space="preserve">1. Prepare the stated preconditions and sign in with the required role.
2. Navigate to Invitations and joining.
3. Execute: Employee joins late and receives a shift before billing date.
4. Refresh or reopen the relevant page and inspect persisted data.
5. Verify UI feedback, permissions, notifications and audit records where applicable.</t>
        </is>
      </c>
      <c r="K72" s="14" t="inlineStr">
        <is>
          <t xml:space="preserve">Active, inactive, cross-location and unassigned employees</t>
        </is>
      </c>
      <c r="L72" s="14" t="inlineStr">
        <is>
          <t xml:space="preserve">Billing includes the employee according to the documented billing rule.</t>
        </is>
      </c>
      <c r="M72" s="14" t="inlineStr">
        <is>
          <t xml:space="preserve">Candidate</t>
        </is>
      </c>
      <c r="N72" s="14" t="inlineStr">
        <is>
          <t xml:space="preserve">Yes</t>
        </is>
      </c>
      <c r="O72" s="14" t="inlineStr">
        <is>
          <t xml:space="preserve">Active</t>
        </is>
      </c>
      <c r="P72" s="14"/>
    </row>
    <row r="73">
      <c r="A73" s="14" t="inlineStr">
        <is>
          <t xml:space="preserve">RR-0072</t>
        </is>
      </c>
      <c r="B73" s="14" t="inlineStr">
        <is>
          <t xml:space="preserve">Employees &amp; Invitations</t>
        </is>
      </c>
      <c r="C73" s="14" t="inlineStr">
        <is>
          <t xml:space="preserve">Invitations and joining</t>
        </is>
      </c>
      <c r="D73" s="14" t="inlineStr">
        <is>
          <t xml:space="preserve">Billing</t>
        </is>
      </c>
      <c r="E73" s="14" t="inlineStr">
        <is>
          <t xml:space="preserve">Former employee has no shifts since the last billing date</t>
        </is>
      </c>
      <c r="F73" s="14" t="inlineStr">
        <is>
          <t xml:space="preserve">Critical</t>
        </is>
      </c>
      <c r="G73" s="14" t="inlineStr">
        <is>
          <t xml:space="preserve">Medium</t>
        </is>
      </c>
      <c r="H73" s="14" t="inlineStr">
        <is>
          <t xml:space="preserve">Beta</t>
        </is>
      </c>
      <c r="I73" s="14" t="inlineStr">
        <is>
          <t xml:space="preserve">Manager account with employee-management permission; test location exists.</t>
        </is>
      </c>
      <c r="J73" s="14" t="inlineStr">
        <is>
          <t xml:space="preserve">1. Prepare the stated preconditions and sign in with the required role.
2. Navigate to Invitations and joining.
3. Execute: Former employee has no shifts since the last billing date.
4. Refresh or reopen the relevant page and inspect persisted data.
5. Verify UI feedback, permissions, notifications and audit records where applicable.</t>
        </is>
      </c>
      <c r="K73" s="14" t="inlineStr">
        <is>
          <t xml:space="preserve">Active, inactive, cross-location and unassigned employees</t>
        </is>
      </c>
      <c r="L73" s="14" t="inlineStr">
        <is>
          <t xml:space="preserve">They are removed from billable employee count after organisation-wide deactivation.</t>
        </is>
      </c>
      <c r="M73" s="14" t="inlineStr">
        <is>
          <t xml:space="preserve">Candidate</t>
        </is>
      </c>
      <c r="N73" s="14" t="inlineStr">
        <is>
          <t xml:space="preserve">Yes</t>
        </is>
      </c>
      <c r="O73" s="14" t="inlineStr">
        <is>
          <t xml:space="preserve">Active</t>
        </is>
      </c>
      <c r="P73" s="14"/>
    </row>
    <row r="74">
      <c r="A74" s="14" t="inlineStr">
        <is>
          <t xml:space="preserve">RR-0073</t>
        </is>
      </c>
      <c r="B74" s="14" t="inlineStr">
        <is>
          <t xml:space="preserve">Roles &amp; Permissions</t>
        </is>
      </c>
      <c r="C74" s="14" t="inlineStr">
        <is>
          <t xml:space="preserve">Role enforcement</t>
        </is>
      </c>
      <c r="D74" s="14" t="inlineStr">
        <is>
          <t xml:space="preserve">Security</t>
        </is>
      </c>
      <c r="E74" s="14" t="inlineStr">
        <is>
          <t xml:space="preserve">Owner accesses organisation billing and all locations</t>
        </is>
      </c>
      <c r="F74" s="14" t="inlineStr">
        <is>
          <t xml:space="preserve">Critical</t>
        </is>
      </c>
      <c r="G74" s="14" t="inlineStr">
        <is>
          <t xml:space="preserve">Medium</t>
        </is>
      </c>
      <c r="H74" s="14" t="inlineStr">
        <is>
          <t xml:space="preserve">Beta</t>
        </is>
      </c>
      <c r="I74" s="14" t="inlineStr">
        <is>
          <t xml:space="preserve">Accounts exist for Owner, Org Admin, Location Manager and Employee roles.</t>
        </is>
      </c>
      <c r="J74" s="14" t="inlineStr">
        <is>
          <t xml:space="preserve">1. Prepare the stated preconditions and sign in with the required role.
2. Navigate to Role enforcement.
3. Execute: Owner accesses organisation billing and all locations.
4. Refresh or reopen the relevant page and inspect persisted data.
5. Verify UI feedback, permissions, notifications and audit records where applicable.</t>
        </is>
      </c>
      <c r="K74" s="14" t="inlineStr">
        <is>
          <t xml:space="preserve">Owner/Admin/Manager/Employee role matrix</t>
        </is>
      </c>
      <c r="L74" s="14" t="inlineStr">
        <is>
          <t xml:space="preserve">Owner has authorised organisation-wide access.</t>
        </is>
      </c>
      <c r="M74" s="14" t="inlineStr">
        <is>
          <t xml:space="preserve">Candidate</t>
        </is>
      </c>
      <c r="N74" s="14" t="inlineStr">
        <is>
          <t xml:space="preserve">Yes</t>
        </is>
      </c>
      <c r="O74" s="14" t="inlineStr">
        <is>
          <t xml:space="preserve">Active</t>
        </is>
      </c>
      <c r="P74" s="14"/>
    </row>
    <row r="75">
      <c r="A75" s="14" t="inlineStr">
        <is>
          <t xml:space="preserve">RR-0074</t>
        </is>
      </c>
      <c r="B75" s="14" t="inlineStr">
        <is>
          <t xml:space="preserve">Roles &amp; Permissions</t>
        </is>
      </c>
      <c r="C75" s="14" t="inlineStr">
        <is>
          <t xml:space="preserve">Role enforcement</t>
        </is>
      </c>
      <c r="D75" s="14" t="inlineStr">
        <is>
          <t xml:space="preserve">Security</t>
        </is>
      </c>
      <c r="E75" s="14" t="inlineStr">
        <is>
          <t xml:space="preserve">Organisation admin manages locations but not owner-only actions</t>
        </is>
      </c>
      <c r="F75" s="14" t="inlineStr">
        <is>
          <t xml:space="preserve">Critical</t>
        </is>
      </c>
      <c r="G75" s="14" t="inlineStr">
        <is>
          <t xml:space="preserve">Medium</t>
        </is>
      </c>
      <c r="H75" s="14" t="inlineStr">
        <is>
          <t xml:space="preserve">Beta</t>
        </is>
      </c>
      <c r="I75" s="14" t="inlineStr">
        <is>
          <t xml:space="preserve">Accounts exist for Owner, Org Admin, Location Manager and Employee roles.</t>
        </is>
      </c>
      <c r="J75" s="14" t="inlineStr">
        <is>
          <t xml:space="preserve">1. Prepare the stated preconditions and sign in with the required role.
2. Navigate to Role enforcement.
3. Execute: Organisation admin manages locations but not owner-only actions.
4. Refresh or reopen the relevant page and inspect persisted data.
5. Verify UI feedback, permissions, notifications and audit records where applicable.</t>
        </is>
      </c>
      <c r="K75" s="14" t="inlineStr">
        <is>
          <t xml:space="preserve">Owner/Admin/Manager/Employee role matrix</t>
        </is>
      </c>
      <c r="L75" s="14" t="inlineStr">
        <is>
          <t xml:space="preserve">Only configured admin permissions are available.</t>
        </is>
      </c>
      <c r="M75" s="14" t="inlineStr">
        <is>
          <t xml:space="preserve">Candidate</t>
        </is>
      </c>
      <c r="N75" s="14" t="inlineStr">
        <is>
          <t xml:space="preserve">Yes</t>
        </is>
      </c>
      <c r="O75" s="14" t="inlineStr">
        <is>
          <t xml:space="preserve">Active</t>
        </is>
      </c>
      <c r="P75" s="14"/>
    </row>
    <row r="76">
      <c r="A76" s="14" t="inlineStr">
        <is>
          <t xml:space="preserve">RR-0075</t>
        </is>
      </c>
      <c r="B76" s="14" t="inlineStr">
        <is>
          <t xml:space="preserve">Roles &amp; Permissions</t>
        </is>
      </c>
      <c r="C76" s="14" t="inlineStr">
        <is>
          <t xml:space="preserve">Role enforcement</t>
        </is>
      </c>
      <c r="D76" s="14" t="inlineStr">
        <is>
          <t xml:space="preserve">Security</t>
        </is>
      </c>
      <c r="E76" s="14" t="inlineStr">
        <is>
          <t xml:space="preserve">Location manager accesses only assigned locations</t>
        </is>
      </c>
      <c r="F76" s="14" t="inlineStr">
        <is>
          <t xml:space="preserve">Critical</t>
        </is>
      </c>
      <c r="G76" s="14" t="inlineStr">
        <is>
          <t xml:space="preserve">Medium</t>
        </is>
      </c>
      <c r="H76" s="14" t="inlineStr">
        <is>
          <t xml:space="preserve">Beta</t>
        </is>
      </c>
      <c r="I76" s="14" t="inlineStr">
        <is>
          <t xml:space="preserve">Accounts exist for Owner, Org Admin, Location Manager and Employee roles.</t>
        </is>
      </c>
      <c r="J76" s="14" t="inlineStr">
        <is>
          <t xml:space="preserve">1. Prepare the stated preconditions and sign in with the required role.
2. Navigate to Role enforcement.
3. Execute: Location manager accesses only assigned locations.
4. Refresh or reopen the relevant page and inspect persisted data.
5. Verify UI feedback, permissions, notifications and audit records where applicable.</t>
        </is>
      </c>
      <c r="K76" s="14" t="inlineStr">
        <is>
          <t xml:space="preserve">Owner/Admin/Manager/Employee role matrix</t>
        </is>
      </c>
      <c r="L76" s="14" t="inlineStr">
        <is>
          <t xml:space="preserve">Other location data and routes are inaccessible.</t>
        </is>
      </c>
      <c r="M76" s="14" t="inlineStr">
        <is>
          <t xml:space="preserve">Candidate</t>
        </is>
      </c>
      <c r="N76" s="14" t="inlineStr">
        <is>
          <t xml:space="preserve">Yes</t>
        </is>
      </c>
      <c r="O76" s="14" t="inlineStr">
        <is>
          <t xml:space="preserve">Active</t>
        </is>
      </c>
      <c r="P76" s="14"/>
    </row>
    <row r="77">
      <c r="A77" s="14" t="inlineStr">
        <is>
          <t xml:space="preserve">RR-0076</t>
        </is>
      </c>
      <c r="B77" s="14" t="inlineStr">
        <is>
          <t xml:space="preserve">Roles &amp; Permissions</t>
        </is>
      </c>
      <c r="C77" s="14" t="inlineStr">
        <is>
          <t xml:space="preserve">Role enforcement</t>
        </is>
      </c>
      <c r="D77" s="14" t="inlineStr">
        <is>
          <t xml:space="preserve">Security</t>
        </is>
      </c>
      <c r="E77" s="14" t="inlineStr">
        <is>
          <t xml:space="preserve">Employee opens the rota builder URL directly</t>
        </is>
      </c>
      <c r="F77" s="14" t="inlineStr">
        <is>
          <t xml:space="preserve">Critical</t>
        </is>
      </c>
      <c r="G77" s="14" t="inlineStr">
        <is>
          <t xml:space="preserve">Medium</t>
        </is>
      </c>
      <c r="H77" s="14" t="inlineStr">
        <is>
          <t xml:space="preserve">Beta</t>
        </is>
      </c>
      <c r="I77" s="14" t="inlineStr">
        <is>
          <t xml:space="preserve">Accounts exist for Owner, Org Admin, Location Manager and Employee roles.</t>
        </is>
      </c>
      <c r="J77" s="14" t="inlineStr">
        <is>
          <t xml:space="preserve">1. Prepare the stated preconditions and sign in with the required role.
2. Navigate to Role enforcement.
3. Execute: Employee opens the rota builder URL directly.
4. Refresh or reopen the relevant page and inspect persisted data.
5. Verify UI feedback, permissions, notifications and audit records where applicable.</t>
        </is>
      </c>
      <c r="K77" s="14" t="inlineStr">
        <is>
          <t xml:space="preserve">Owner/Admin/Manager/Employee role matrix</t>
        </is>
      </c>
      <c r="L77" s="14" t="inlineStr">
        <is>
          <t xml:space="preserve">Edit access is denied; employee sees only permitted self-service data.</t>
        </is>
      </c>
      <c r="M77" s="14" t="inlineStr">
        <is>
          <t xml:space="preserve">Candidate</t>
        </is>
      </c>
      <c r="N77" s="14" t="inlineStr">
        <is>
          <t xml:space="preserve">Yes</t>
        </is>
      </c>
      <c r="O77" s="14" t="inlineStr">
        <is>
          <t xml:space="preserve">Active</t>
        </is>
      </c>
      <c r="P77" s="14"/>
    </row>
    <row r="78">
      <c r="A78" s="14" t="inlineStr">
        <is>
          <t xml:space="preserve">RR-0077</t>
        </is>
      </c>
      <c r="B78" s="14" t="inlineStr">
        <is>
          <t xml:space="preserve">Roles &amp; Permissions</t>
        </is>
      </c>
      <c r="C78" s="14" t="inlineStr">
        <is>
          <t xml:space="preserve">Role enforcement</t>
        </is>
      </c>
      <c r="D78" s="14" t="inlineStr">
        <is>
          <t xml:space="preserve">Security</t>
        </is>
      </c>
      <c r="E78" s="14" t="inlineStr">
        <is>
          <t xml:space="preserve">Employee edits another employee's profile through an API request</t>
        </is>
      </c>
      <c r="F78" s="14" t="inlineStr">
        <is>
          <t xml:space="preserve">Critical</t>
        </is>
      </c>
      <c r="G78" s="14" t="inlineStr">
        <is>
          <t xml:space="preserve">Medium</t>
        </is>
      </c>
      <c r="H78" s="14" t="inlineStr">
        <is>
          <t xml:space="preserve">Beta</t>
        </is>
      </c>
      <c r="I78" s="14" t="inlineStr">
        <is>
          <t xml:space="preserve">Accounts exist for Owner, Org Admin, Location Manager and Employee roles.</t>
        </is>
      </c>
      <c r="J78" s="14" t="inlineStr">
        <is>
          <t xml:space="preserve">1. Prepare the stated preconditions and sign in with the required role.
2. Navigate to Role enforcement.
3. Execute: Employee edits another employee's profile through an API request.
4. Refresh or reopen the relevant page and inspect persisted data.
5. Verify UI feedback, permissions, notifications and audit records where applicable.</t>
        </is>
      </c>
      <c r="K78" s="14" t="inlineStr">
        <is>
          <t xml:space="preserve">Owner/Admin/Manager/Employee role matrix</t>
        </is>
      </c>
      <c r="L78" s="14" t="inlineStr">
        <is>
          <t xml:space="preserve">Server rejects the request regardless of hidden UI controls.</t>
        </is>
      </c>
      <c r="M78" s="14" t="inlineStr">
        <is>
          <t xml:space="preserve">Candidate</t>
        </is>
      </c>
      <c r="N78" s="14" t="inlineStr">
        <is>
          <t xml:space="preserve">Yes</t>
        </is>
      </c>
      <c r="O78" s="14" t="inlineStr">
        <is>
          <t xml:space="preserve">Active</t>
        </is>
      </c>
      <c r="P78" s="14"/>
    </row>
    <row r="79">
      <c r="A79" s="14" t="inlineStr">
        <is>
          <t xml:space="preserve">RR-0078</t>
        </is>
      </c>
      <c r="B79" s="14" t="inlineStr">
        <is>
          <t xml:space="preserve">Roles &amp; Permissions</t>
        </is>
      </c>
      <c r="C79" s="14" t="inlineStr">
        <is>
          <t xml:space="preserve">Role enforcement</t>
        </is>
      </c>
      <c r="D79" s="14" t="inlineStr">
        <is>
          <t xml:space="preserve">Functional</t>
        </is>
      </c>
      <c r="E79" s="14" t="inlineStr">
        <is>
          <t xml:space="preserve">Manager creates and edits shifts</t>
        </is>
      </c>
      <c r="F79" s="14" t="inlineStr">
        <is>
          <t xml:space="preserve">Critical</t>
        </is>
      </c>
      <c r="G79" s="14" t="inlineStr">
        <is>
          <t xml:space="preserve">Medium</t>
        </is>
      </c>
      <c r="H79" s="14" t="inlineStr">
        <is>
          <t xml:space="preserve">Beta</t>
        </is>
      </c>
      <c r="I79" s="14" t="inlineStr">
        <is>
          <t xml:space="preserve">Accounts exist for Owner, Org Admin, Location Manager and Employee roles.</t>
        </is>
      </c>
      <c r="J79" s="14" t="inlineStr">
        <is>
          <t xml:space="preserve">1. Prepare the stated preconditions and sign in with the required role.
2. Navigate to Role enforcement.
3. Execute: Manager creates and edits shifts.
4. Refresh or reopen the relevant page and inspect persisted data.
5. Verify UI feedback, permissions, notifications and audit records where applicable.</t>
        </is>
      </c>
      <c r="K79" s="14" t="inlineStr">
        <is>
          <t xml:space="preserve">Owner/Admin/Manager/Employee role matrix</t>
        </is>
      </c>
      <c r="L79" s="14" t="inlineStr">
        <is>
          <t xml:space="preserve">Allowed rota actions work for assigned locations.</t>
        </is>
      </c>
      <c r="M79" s="14" t="inlineStr">
        <is>
          <t xml:space="preserve">Candidate</t>
        </is>
      </c>
      <c r="N79" s="14" t="inlineStr">
        <is>
          <t xml:space="preserve">Yes</t>
        </is>
      </c>
      <c r="O79" s="14" t="inlineStr">
        <is>
          <t xml:space="preserve">Active</t>
        </is>
      </c>
      <c r="P79" s="14"/>
    </row>
    <row r="80">
      <c r="A80" s="14" t="inlineStr">
        <is>
          <t xml:space="preserve">RR-0079</t>
        </is>
      </c>
      <c r="B80" s="14" t="inlineStr">
        <is>
          <t xml:space="preserve">Roles &amp; Permissions</t>
        </is>
      </c>
      <c r="C80" s="14" t="inlineStr">
        <is>
          <t xml:space="preserve">Role enforcement</t>
        </is>
      </c>
      <c r="D80" s="14" t="inlineStr">
        <is>
          <t xml:space="preserve">Security</t>
        </is>
      </c>
      <c r="E80" s="14" t="inlineStr">
        <is>
          <t xml:space="preserve">Manager attempts to change organisation billing</t>
        </is>
      </c>
      <c r="F80" s="14" t="inlineStr">
        <is>
          <t xml:space="preserve">Critical</t>
        </is>
      </c>
      <c r="G80" s="14" t="inlineStr">
        <is>
          <t xml:space="preserve">Medium</t>
        </is>
      </c>
      <c r="H80" s="14" t="inlineStr">
        <is>
          <t xml:space="preserve">Beta</t>
        </is>
      </c>
      <c r="I80" s="14" t="inlineStr">
        <is>
          <t xml:space="preserve">Accounts exist for Owner, Org Admin, Location Manager and Employee roles.</t>
        </is>
      </c>
      <c r="J80" s="14" t="inlineStr">
        <is>
          <t xml:space="preserve">1. Prepare the stated preconditions and sign in with the required role.
2. Navigate to Role enforcement.
3. Execute: Manager attempts to change organisation billing.
4. Refresh or reopen the relevant page and inspect persisted data.
5. Verify UI feedback, permissions, notifications and audit records where applicable.</t>
        </is>
      </c>
      <c r="K80" s="14" t="inlineStr">
        <is>
          <t xml:space="preserve">Owner/Admin/Manager/Employee role matrix</t>
        </is>
      </c>
      <c r="L80" s="14" t="inlineStr">
        <is>
          <t xml:space="preserve">Action is blocked server-side and logged.</t>
        </is>
      </c>
      <c r="M80" s="14" t="inlineStr">
        <is>
          <t xml:space="preserve">Candidate</t>
        </is>
      </c>
      <c r="N80" s="14" t="inlineStr">
        <is>
          <t xml:space="preserve">Yes</t>
        </is>
      </c>
      <c r="O80" s="14" t="inlineStr">
        <is>
          <t xml:space="preserve">Active</t>
        </is>
      </c>
      <c r="P80" s="14"/>
    </row>
    <row r="81">
      <c r="A81" s="14" t="inlineStr">
        <is>
          <t xml:space="preserve">RR-0080</t>
        </is>
      </c>
      <c r="B81" s="14" t="inlineStr">
        <is>
          <t xml:space="preserve">Roles &amp; Permissions</t>
        </is>
      </c>
      <c r="C81" s="14" t="inlineStr">
        <is>
          <t xml:space="preserve">Role enforcement</t>
        </is>
      </c>
      <c r="D81" s="14" t="inlineStr">
        <is>
          <t xml:space="preserve">Security</t>
        </is>
      </c>
      <c r="E81" s="14" t="inlineStr">
        <is>
          <t xml:space="preserve">Manager publishes a rota without publish permission</t>
        </is>
      </c>
      <c r="F81" s="14" t="inlineStr">
        <is>
          <t xml:space="preserve">High</t>
        </is>
      </c>
      <c r="G81" s="14" t="inlineStr">
        <is>
          <t xml:space="preserve">Medium</t>
        </is>
      </c>
      <c r="H81" s="14" t="inlineStr">
        <is>
          <t xml:space="preserve">Beta</t>
        </is>
      </c>
      <c r="I81" s="14" t="inlineStr">
        <is>
          <t xml:space="preserve">Accounts exist for Owner, Org Admin, Location Manager and Employee roles.</t>
        </is>
      </c>
      <c r="J81" s="14" t="inlineStr">
        <is>
          <t xml:space="preserve">1. Prepare the stated preconditions and sign in with the required role.
2. Navigate to Role enforcement.
3. Execute: Manager publishes a rota without publish permission.
4. Refresh or reopen the relevant page and inspect persisted data.
5. Verify UI feedback, permissions, notifications and audit records where applicable.</t>
        </is>
      </c>
      <c r="K81" s="14" t="inlineStr">
        <is>
          <t xml:space="preserve">Owner/Admin/Manager/Employee role matrix</t>
        </is>
      </c>
      <c r="L81" s="14" t="inlineStr">
        <is>
          <t xml:space="preserve">Publish action is unavailable and direct requests are rejected.</t>
        </is>
      </c>
      <c r="M81" s="14" t="inlineStr">
        <is>
          <t xml:space="preserve">Candidate</t>
        </is>
      </c>
      <c r="N81" s="14" t="inlineStr">
        <is>
          <t xml:space="preserve">Yes</t>
        </is>
      </c>
      <c r="O81" s="14" t="inlineStr">
        <is>
          <t xml:space="preserve">Active</t>
        </is>
      </c>
      <c r="P81" s="14"/>
    </row>
    <row r="82">
      <c r="A82" s="14" t="inlineStr">
        <is>
          <t xml:space="preserve">RR-0081</t>
        </is>
      </c>
      <c r="B82" s="14" t="inlineStr">
        <is>
          <t xml:space="preserve">Roles &amp; Permissions</t>
        </is>
      </c>
      <c r="C82" s="14" t="inlineStr">
        <is>
          <t xml:space="preserve">Role enforcement</t>
        </is>
      </c>
      <c r="D82" s="14" t="inlineStr">
        <is>
          <t xml:space="preserve">Security</t>
        </is>
      </c>
      <c r="E82" s="14" t="inlineStr">
        <is>
          <t xml:space="preserve">Employee views private manager notes</t>
        </is>
      </c>
      <c r="F82" s="14" t="inlineStr">
        <is>
          <t xml:space="preserve">Critical</t>
        </is>
      </c>
      <c r="G82" s="14" t="inlineStr">
        <is>
          <t xml:space="preserve">Medium</t>
        </is>
      </c>
      <c r="H82" s="14" t="inlineStr">
        <is>
          <t xml:space="preserve">Beta</t>
        </is>
      </c>
      <c r="I82" s="14" t="inlineStr">
        <is>
          <t xml:space="preserve">Accounts exist for Owner, Org Admin, Location Manager and Employee roles.</t>
        </is>
      </c>
      <c r="J82" s="14" t="inlineStr">
        <is>
          <t xml:space="preserve">1. Prepare the stated preconditions and sign in with the required role.
2. Navigate to Role enforcement.
3. Execute: Employee views private manager notes.
4. Refresh or reopen the relevant page and inspect persisted data.
5. Verify UI feedback, permissions, notifications and audit records where applicable.</t>
        </is>
      </c>
      <c r="K82" s="14" t="inlineStr">
        <is>
          <t xml:space="preserve">Owner/Admin/Manager/Employee role matrix</t>
        </is>
      </c>
      <c r="L82" s="14" t="inlineStr">
        <is>
          <t xml:space="preserve">Private notes never appear in UI, API responses, exports or notifications.</t>
        </is>
      </c>
      <c r="M82" s="14" t="inlineStr">
        <is>
          <t xml:space="preserve">Candidate</t>
        </is>
      </c>
      <c r="N82" s="14" t="inlineStr">
        <is>
          <t xml:space="preserve">Yes</t>
        </is>
      </c>
      <c r="O82" s="14" t="inlineStr">
        <is>
          <t xml:space="preserve">Active</t>
        </is>
      </c>
      <c r="P82" s="14"/>
    </row>
    <row r="83">
      <c r="A83" s="14" t="inlineStr">
        <is>
          <t xml:space="preserve">RR-0082</t>
        </is>
      </c>
      <c r="B83" s="14" t="inlineStr">
        <is>
          <t xml:space="preserve">Roles &amp; Permissions</t>
        </is>
      </c>
      <c r="C83" s="14" t="inlineStr">
        <is>
          <t xml:space="preserve">Role enforcement</t>
        </is>
      </c>
      <c r="D83" s="14" t="inlineStr">
        <is>
          <t xml:space="preserve">Functional</t>
        </is>
      </c>
      <c r="E83" s="14" t="inlineStr">
        <is>
          <t xml:space="preserve">Cross-location manager schedules an employee from another allowed location</t>
        </is>
      </c>
      <c r="F83" s="14" t="inlineStr">
        <is>
          <t xml:space="preserve">High</t>
        </is>
      </c>
      <c r="G83" s="14" t="inlineStr">
        <is>
          <t xml:space="preserve">Medium</t>
        </is>
      </c>
      <c r="H83" s="14" t="inlineStr">
        <is>
          <t xml:space="preserve">Beta</t>
        </is>
      </c>
      <c r="I83" s="14" t="inlineStr">
        <is>
          <t xml:space="preserve">Accounts exist for Owner, Org Admin, Location Manager and Employee roles.</t>
        </is>
      </c>
      <c r="J83" s="14" t="inlineStr">
        <is>
          <t xml:space="preserve">1. Prepare the stated preconditions and sign in with the required role.
2. Navigate to Role enforcement.
3. Execute: Cross-location manager schedules an employee from another allowed location.
4. Refresh or reopen the relevant page and inspect persisted data.
5. Verify UI feedback, permissions, notifications and audit records where applicable.</t>
        </is>
      </c>
      <c r="K83" s="14" t="inlineStr">
        <is>
          <t xml:space="preserve">Owner/Admin/Manager/Employee role matrix</t>
        </is>
      </c>
      <c r="L83" s="14" t="inlineStr">
        <is>
          <t xml:space="preserve">Assignment follows cross-location policy and cost/billing attribution is correct.</t>
        </is>
      </c>
      <c r="M83" s="14" t="inlineStr">
        <is>
          <t xml:space="preserve">Candidate</t>
        </is>
      </c>
      <c r="N83" s="14" t="inlineStr">
        <is>
          <t xml:space="preserve">Yes</t>
        </is>
      </c>
      <c r="O83" s="14" t="inlineStr">
        <is>
          <t xml:space="preserve">Active</t>
        </is>
      </c>
      <c r="P83" s="14"/>
    </row>
    <row r="84">
      <c r="A84" s="14" t="inlineStr">
        <is>
          <t xml:space="preserve">RR-0083</t>
        </is>
      </c>
      <c r="B84" s="14" t="inlineStr">
        <is>
          <t xml:space="preserve">Roles &amp; Permissions</t>
        </is>
      </c>
      <c r="C84" s="14" t="inlineStr">
        <is>
          <t xml:space="preserve">Role enforcement</t>
        </is>
      </c>
      <c r="D84" s="14" t="inlineStr">
        <is>
          <t xml:space="preserve">Security</t>
        </is>
      </c>
      <c r="E84" s="14" t="inlineStr">
        <is>
          <t xml:space="preserve">Remove a user's manager role during an active session</t>
        </is>
      </c>
      <c r="F84" s="14" t="inlineStr">
        <is>
          <t xml:space="preserve">Critical</t>
        </is>
      </c>
      <c r="G84" s="14" t="inlineStr">
        <is>
          <t xml:space="preserve">Medium</t>
        </is>
      </c>
      <c r="H84" s="14" t="inlineStr">
        <is>
          <t xml:space="preserve">Beta</t>
        </is>
      </c>
      <c r="I84" s="14" t="inlineStr">
        <is>
          <t xml:space="preserve">Accounts exist for Owner, Org Admin, Location Manager and Employee roles.</t>
        </is>
      </c>
      <c r="J84" s="14" t="inlineStr">
        <is>
          <t xml:space="preserve">1. Prepare the stated preconditions and sign in with the required role.
2. Navigate to Role enforcement.
3. Execute: Remove a user's manager role during an active session.
4. Refresh or reopen the relevant page and inspect persisted data.
5. Verify UI feedback, permissions, notifications and audit records where applicable.</t>
        </is>
      </c>
      <c r="K84" s="14" t="inlineStr">
        <is>
          <t xml:space="preserve">Owner/Admin/Manager/Employee role matrix</t>
        </is>
      </c>
      <c r="L84" s="14" t="inlineStr">
        <is>
          <t xml:space="preserve">New privileged requests are denied immediately or after documented session refresh.</t>
        </is>
      </c>
      <c r="M84" s="14" t="inlineStr">
        <is>
          <t xml:space="preserve">Candidate</t>
        </is>
      </c>
      <c r="N84" s="14" t="inlineStr">
        <is>
          <t xml:space="preserve">Yes</t>
        </is>
      </c>
      <c r="O84" s="14" t="inlineStr">
        <is>
          <t xml:space="preserve">Active</t>
        </is>
      </c>
      <c r="P84" s="14"/>
    </row>
    <row r="85">
      <c r="A85" s="14" t="inlineStr">
        <is>
          <t xml:space="preserve">RR-0084</t>
        </is>
      </c>
      <c r="B85" s="14" t="inlineStr">
        <is>
          <t xml:space="preserve">Roles &amp; Permissions</t>
        </is>
      </c>
      <c r="C85" s="14" t="inlineStr">
        <is>
          <t xml:space="preserve">Role enforcement</t>
        </is>
      </c>
      <c r="D85" s="14" t="inlineStr">
        <is>
          <t xml:space="preserve">Security</t>
        </is>
      </c>
      <c r="E85" s="14" t="inlineStr">
        <is>
          <t xml:space="preserve">Change a user's role while they have unsaved edits</t>
        </is>
      </c>
      <c r="F85" s="14" t="inlineStr">
        <is>
          <t xml:space="preserve">High</t>
        </is>
      </c>
      <c r="G85" s="14" t="inlineStr">
        <is>
          <t xml:space="preserve">Medium</t>
        </is>
      </c>
      <c r="H85" s="14" t="inlineStr">
        <is>
          <t xml:space="preserve">Beta</t>
        </is>
      </c>
      <c r="I85" s="14" t="inlineStr">
        <is>
          <t xml:space="preserve">Accounts exist for Owner, Org Admin, Location Manager and Employee roles.</t>
        </is>
      </c>
      <c r="J85" s="14" t="inlineStr">
        <is>
          <t xml:space="preserve">1. Prepare the stated preconditions and sign in with the required role.
2. Navigate to Role enforcement.
3. Execute: Change a user's role while they have unsaved edits.
4. Refresh or reopen the relevant page and inspect persisted data.
5. Verify UI feedback, permissions, notifications and audit records where applicable.</t>
        </is>
      </c>
      <c r="K85" s="14" t="inlineStr">
        <is>
          <t xml:space="preserve">Owner/Admin/Manager/Employee role matrix</t>
        </is>
      </c>
      <c r="L85" s="14" t="inlineStr">
        <is>
          <t xml:space="preserve">Permission changes do not allow unauthorised save/publish operations.</t>
        </is>
      </c>
      <c r="M85" s="14" t="inlineStr">
        <is>
          <t xml:space="preserve">Candidate</t>
        </is>
      </c>
      <c r="N85" s="14" t="inlineStr">
        <is>
          <t xml:space="preserve">Yes</t>
        </is>
      </c>
      <c r="O85" s="14" t="inlineStr">
        <is>
          <t xml:space="preserve">Active</t>
        </is>
      </c>
      <c r="P85" s="14"/>
    </row>
    <row r="86">
      <c r="A86" s="14" t="inlineStr">
        <is>
          <t xml:space="preserve">RR-0085</t>
        </is>
      </c>
      <c r="B86" s="14" t="inlineStr">
        <is>
          <t xml:space="preserve">Roles &amp; Permissions</t>
        </is>
      </c>
      <c r="C86" s="14" t="inlineStr">
        <is>
          <t xml:space="preserve">Role enforcement</t>
        </is>
      </c>
      <c r="D86" s="14" t="inlineStr">
        <is>
          <t xml:space="preserve">Security</t>
        </is>
      </c>
      <c r="E86" s="14" t="inlineStr">
        <is>
          <t xml:space="preserve">Owner transfers organisation ownership</t>
        </is>
      </c>
      <c r="F86" s="14" t="inlineStr">
        <is>
          <t xml:space="preserve">Critical</t>
        </is>
      </c>
      <c r="G86" s="14" t="inlineStr">
        <is>
          <t xml:space="preserve">Medium</t>
        </is>
      </c>
      <c r="H86" s="14" t="inlineStr">
        <is>
          <t xml:space="preserve">Beta</t>
        </is>
      </c>
      <c r="I86" s="14" t="inlineStr">
        <is>
          <t xml:space="preserve">Accounts exist for Owner, Org Admin, Location Manager and Employee roles.</t>
        </is>
      </c>
      <c r="J86" s="14" t="inlineStr">
        <is>
          <t xml:space="preserve">1. Prepare the stated preconditions and sign in with the required role.
2. Navigate to Role enforcement.
3. Execute: Owner transfers organisation ownership.
4. Refresh or reopen the relevant page and inspect persisted data.
5. Verify UI feedback, permissions, notifications and audit records where applicable.</t>
        </is>
      </c>
      <c r="K86" s="14" t="inlineStr">
        <is>
          <t xml:space="preserve">Owner/Admin/Manager/Employee role matrix</t>
        </is>
      </c>
      <c r="L86" s="14" t="inlineStr">
        <is>
          <t xml:space="preserve">Transfer requires strong confirmation and leaves exactly one valid owner.</t>
        </is>
      </c>
      <c r="M86" s="14" t="inlineStr">
        <is>
          <t xml:space="preserve">Candidate</t>
        </is>
      </c>
      <c r="N86" s="14" t="inlineStr">
        <is>
          <t xml:space="preserve">Yes</t>
        </is>
      </c>
      <c r="O86" s="14" t="inlineStr">
        <is>
          <t xml:space="preserve">Active</t>
        </is>
      </c>
      <c r="P86" s="14"/>
    </row>
    <row r="87">
      <c r="A87" s="14" t="inlineStr">
        <is>
          <t xml:space="preserve">RR-0086</t>
        </is>
      </c>
      <c r="B87" s="14" t="inlineStr">
        <is>
          <t xml:space="preserve">Roles &amp; Permissions</t>
        </is>
      </c>
      <c r="C87" s="14" t="inlineStr">
        <is>
          <t xml:space="preserve">Role enforcement</t>
        </is>
      </c>
      <c r="D87" s="14" t="inlineStr">
        <is>
          <t xml:space="preserve">Negative</t>
        </is>
      </c>
      <c r="E87" s="14" t="inlineStr">
        <is>
          <t xml:space="preserve">Last owner attempts to leave the organisation</t>
        </is>
      </c>
      <c r="F87" s="14" t="inlineStr">
        <is>
          <t xml:space="preserve">Critical</t>
        </is>
      </c>
      <c r="G87" s="14" t="inlineStr">
        <is>
          <t xml:space="preserve">Medium</t>
        </is>
      </c>
      <c r="H87" s="14" t="inlineStr">
        <is>
          <t xml:space="preserve">Beta</t>
        </is>
      </c>
      <c r="I87" s="14" t="inlineStr">
        <is>
          <t xml:space="preserve">Accounts exist for Owner, Org Admin, Location Manager and Employee roles.</t>
        </is>
      </c>
      <c r="J87" s="14" t="inlineStr">
        <is>
          <t xml:space="preserve">1. Prepare the stated preconditions and sign in with the required role.
2. Navigate to Role enforcement.
3. Execute: Last owner attempts to leave the organisation.
4. Refresh or reopen the relevant page and inspect persisted data.
5. Verify UI feedback, permissions, notifications and audit records where applicable.</t>
        </is>
      </c>
      <c r="K87" s="14" t="inlineStr">
        <is>
          <t xml:space="preserve">Owner/Admin/Manager/Employee role matrix</t>
        </is>
      </c>
      <c r="L87" s="14" t="inlineStr">
        <is>
          <t xml:space="preserve">Action is blocked until another owner is assigned.</t>
        </is>
      </c>
      <c r="M87" s="14" t="inlineStr">
        <is>
          <t xml:space="preserve">Candidate</t>
        </is>
      </c>
      <c r="N87" s="14" t="inlineStr">
        <is>
          <t xml:space="preserve">Yes</t>
        </is>
      </c>
      <c r="O87" s="14" t="inlineStr">
        <is>
          <t xml:space="preserve">Active</t>
        </is>
      </c>
      <c r="P87" s="14"/>
    </row>
    <row r="88">
      <c r="A88" s="14" t="inlineStr">
        <is>
          <t xml:space="preserve">RR-0087</t>
        </is>
      </c>
      <c r="B88" s="14" t="inlineStr">
        <is>
          <t xml:space="preserve">Roles &amp; Permissions</t>
        </is>
      </c>
      <c r="C88" s="14" t="inlineStr">
        <is>
          <t xml:space="preserve">Role enforcement</t>
        </is>
      </c>
      <c r="D88" s="14" t="inlineStr">
        <is>
          <t xml:space="preserve">Security</t>
        </is>
      </c>
      <c r="E88" s="14" t="inlineStr">
        <is>
          <t xml:space="preserve">Support admin impersonates a customer with authorisation</t>
        </is>
      </c>
      <c r="F88" s="14" t="inlineStr">
        <is>
          <t xml:space="preserve">Critical</t>
        </is>
      </c>
      <c r="G88" s="14" t="inlineStr">
        <is>
          <t xml:space="preserve">Medium</t>
        </is>
      </c>
      <c r="H88" s="14" t="inlineStr">
        <is>
          <t xml:space="preserve">Beta</t>
        </is>
      </c>
      <c r="I88" s="14" t="inlineStr">
        <is>
          <t xml:space="preserve">Accounts exist for Owner, Org Admin, Location Manager and Employee roles.</t>
        </is>
      </c>
      <c r="J88" s="14" t="inlineStr">
        <is>
          <t xml:space="preserve">1. Prepare the stated preconditions and sign in with the required role.
2. Navigate to Role enforcement.
3. Execute: Support admin impersonates a customer with authorisation.
4. Refresh or reopen the relevant page and inspect persisted data.
5. Verify UI feedback, permissions, notifications and audit records where applicable.</t>
        </is>
      </c>
      <c r="K88" s="14" t="inlineStr">
        <is>
          <t xml:space="preserve">Owner/Admin/Manager/Employee role matrix</t>
        </is>
      </c>
      <c r="L88" s="14" t="inlineStr">
        <is>
          <t xml:space="preserve">Impersonation is time-bound, visibly indicated and fully audited.</t>
        </is>
      </c>
      <c r="M88" s="14" t="inlineStr">
        <is>
          <t xml:space="preserve">Candidate</t>
        </is>
      </c>
      <c r="N88" s="14" t="inlineStr">
        <is>
          <t xml:space="preserve">Yes</t>
        </is>
      </c>
      <c r="O88" s="14" t="inlineStr">
        <is>
          <t xml:space="preserve">Active</t>
        </is>
      </c>
      <c r="P88" s="14"/>
    </row>
    <row r="89">
      <c r="A89" s="14" t="inlineStr">
        <is>
          <t xml:space="preserve">RR-0088</t>
        </is>
      </c>
      <c r="B89" s="14" t="inlineStr">
        <is>
          <t xml:space="preserve">Roles &amp; Permissions</t>
        </is>
      </c>
      <c r="C89" s="14" t="inlineStr">
        <is>
          <t xml:space="preserve">Role enforcement</t>
        </is>
      </c>
      <c r="D89" s="14" t="inlineStr">
        <is>
          <t xml:space="preserve">Security</t>
        </is>
      </c>
      <c r="E89" s="14" t="inlineStr">
        <is>
          <t xml:space="preserve">Support admin attempts an action excluded from impersonation</t>
        </is>
      </c>
      <c r="F89" s="14" t="inlineStr">
        <is>
          <t xml:space="preserve">Critical</t>
        </is>
      </c>
      <c r="G89" s="14" t="inlineStr">
        <is>
          <t xml:space="preserve">Medium</t>
        </is>
      </c>
      <c r="H89" s="14" t="inlineStr">
        <is>
          <t xml:space="preserve">Beta</t>
        </is>
      </c>
      <c r="I89" s="14" t="inlineStr">
        <is>
          <t xml:space="preserve">Accounts exist for Owner, Org Admin, Location Manager and Employee roles.</t>
        </is>
      </c>
      <c r="J89" s="14" t="inlineStr">
        <is>
          <t xml:space="preserve">1. Prepare the stated preconditions and sign in with the required role.
2. Navigate to Role enforcement.
3. Execute: Support admin attempts an action excluded from impersonation.
4. Refresh or reopen the relevant page and inspect persisted data.
5. Verify UI feedback, permissions, notifications and audit records where applicable.</t>
        </is>
      </c>
      <c r="K89" s="14" t="inlineStr">
        <is>
          <t xml:space="preserve">Owner/Admin/Manager/Employee role matrix</t>
        </is>
      </c>
      <c r="L89" s="14" t="inlineStr">
        <is>
          <t xml:space="preserve">Restricted actions remain blocked.</t>
        </is>
      </c>
      <c r="M89" s="14" t="inlineStr">
        <is>
          <t xml:space="preserve">Candidate</t>
        </is>
      </c>
      <c r="N89" s="14" t="inlineStr">
        <is>
          <t xml:space="preserve">Yes</t>
        </is>
      </c>
      <c r="O89" s="14" t="inlineStr">
        <is>
          <t xml:space="preserve">Active</t>
        </is>
      </c>
      <c r="P89" s="14"/>
    </row>
    <row r="90">
      <c r="A90" s="14" t="inlineStr">
        <is>
          <t xml:space="preserve">RR-0089</t>
        </is>
      </c>
      <c r="B90" s="14" t="inlineStr">
        <is>
          <t xml:space="preserve">Availability</t>
        </is>
      </c>
      <c r="C90" s="14" t="inlineStr">
        <is>
          <t xml:space="preserve">Employee availability</t>
        </is>
      </c>
      <c r="D90" s="14" t="inlineStr">
        <is>
          <t xml:space="preserve">Functional</t>
        </is>
      </c>
      <c r="E90" s="14" t="inlineStr">
        <is>
          <t xml:space="preserve">Employee submits a recurring unavailable Saturday</t>
        </is>
      </c>
      <c r="F90" s="14" t="inlineStr">
        <is>
          <t xml:space="preserve">High</t>
        </is>
      </c>
      <c r="G90" s="14" t="inlineStr">
        <is>
          <t xml:space="preserve">Medium</t>
        </is>
      </c>
      <c r="H90" s="14" t="inlineStr">
        <is>
          <t xml:space="preserve">Beta</t>
        </is>
      </c>
      <c r="I90" s="14" t="inlineStr">
        <is>
          <t xml:space="preserve">Employee and manager accounts exist; employee is assigned to a location.</t>
        </is>
      </c>
      <c r="J90" s="14" t="inlineStr">
        <is>
          <t xml:space="preserve">1. Prepare the stated preconditions and sign in with the required role.
2. Navigate to Employee availability.
3. Execute: Employee submits a recurring unavailable Saturday.
4. Refresh or reopen the relevant page and inspect persisted data.
5. Verify UI feedback, permissions, notifications and audit records where applicable.</t>
        </is>
      </c>
      <c r="K90" s="14" t="inlineStr">
        <is>
          <t xml:space="preserve">Recurring Saturday restriction; dated unavailable periods</t>
        </is>
      </c>
      <c r="L90" s="14" t="inlineStr">
        <is>
          <t xml:space="preserve">Future matching Saturdays are marked unavailable within the configured effective period.</t>
        </is>
      </c>
      <c r="M90" s="14" t="inlineStr">
        <is>
          <t xml:space="preserve">Candidate</t>
        </is>
      </c>
      <c r="N90" s="14" t="inlineStr">
        <is>
          <t xml:space="preserve">Yes</t>
        </is>
      </c>
      <c r="O90" s="14" t="inlineStr">
        <is>
          <t xml:space="preserve">Active</t>
        </is>
      </c>
      <c r="P90" s="14"/>
    </row>
    <row r="91">
      <c r="A91" s="14" t="inlineStr">
        <is>
          <t xml:space="preserve">RR-0090</t>
        </is>
      </c>
      <c r="B91" s="14" t="inlineStr">
        <is>
          <t xml:space="preserve">Availability</t>
        </is>
      </c>
      <c r="C91" s="14" t="inlineStr">
        <is>
          <t xml:space="preserve">Employee availability</t>
        </is>
      </c>
      <c r="D91" s="14" t="inlineStr">
        <is>
          <t xml:space="preserve">Functional</t>
        </is>
      </c>
      <c r="E91" s="14" t="inlineStr">
        <is>
          <t xml:space="preserve">Employee submits a one-off unavailable date</t>
        </is>
      </c>
      <c r="F91" s="14" t="inlineStr">
        <is>
          <t xml:space="preserve">High</t>
        </is>
      </c>
      <c r="G91" s="14" t="inlineStr">
        <is>
          <t xml:space="preserve">Medium</t>
        </is>
      </c>
      <c r="H91" s="14" t="inlineStr">
        <is>
          <t xml:space="preserve">Beta</t>
        </is>
      </c>
      <c r="I91" s="14" t="inlineStr">
        <is>
          <t xml:space="preserve">Employee and manager accounts exist; employee is assigned to a location.</t>
        </is>
      </c>
      <c r="J91" s="14" t="inlineStr">
        <is>
          <t xml:space="preserve">1. Prepare the stated preconditions and sign in with the required role.
2. Navigate to Employee availability.
3. Execute: Employee submits a one-off unavailable date.
4. Refresh or reopen the relevant page and inspect persisted data.
5. Verify UI feedback, permissions, notifications and audit records where applicable.</t>
        </is>
      </c>
      <c r="K91" s="14" t="inlineStr">
        <is>
          <t xml:space="preserve">Recurring Saturday restriction; dated unavailable periods</t>
        </is>
      </c>
      <c r="L91" s="14" t="inlineStr">
        <is>
          <t xml:space="preserve">Only that date is affected.</t>
        </is>
      </c>
      <c r="M91" s="14" t="inlineStr">
        <is>
          <t xml:space="preserve">Candidate</t>
        </is>
      </c>
      <c r="N91" s="14" t="inlineStr">
        <is>
          <t xml:space="preserve">Yes</t>
        </is>
      </c>
      <c r="O91" s="14" t="inlineStr">
        <is>
          <t xml:space="preserve">Active</t>
        </is>
      </c>
      <c r="P91" s="14"/>
    </row>
    <row r="92">
      <c r="A92" s="14" t="inlineStr">
        <is>
          <t xml:space="preserve">RR-0091</t>
        </is>
      </c>
      <c r="B92" s="14" t="inlineStr">
        <is>
          <t xml:space="preserve">Availability</t>
        </is>
      </c>
      <c r="C92" s="14" t="inlineStr">
        <is>
          <t xml:space="preserve">Employee availability</t>
        </is>
      </c>
      <c r="D92" s="14" t="inlineStr">
        <is>
          <t xml:space="preserve">Functional</t>
        </is>
      </c>
      <c r="E92" s="14" t="inlineStr">
        <is>
          <t xml:space="preserve">Employee edits an availability rule</t>
        </is>
      </c>
      <c r="F92" s="14" t="inlineStr">
        <is>
          <t xml:space="preserve">Medium</t>
        </is>
      </c>
      <c r="G92" s="14" t="inlineStr">
        <is>
          <t xml:space="preserve">Medium</t>
        </is>
      </c>
      <c r="H92" s="14" t="inlineStr">
        <is>
          <t xml:space="preserve">Beta</t>
        </is>
      </c>
      <c r="I92" s="14" t="inlineStr">
        <is>
          <t xml:space="preserve">Employee and manager accounts exist; employee is assigned to a location.</t>
        </is>
      </c>
      <c r="J92" s="14" t="inlineStr">
        <is>
          <t xml:space="preserve">1. Prepare the stated preconditions and sign in with the required role.
2. Navigate to Employee availability.
3. Execute: Employee edits an availability rule.
4. Refresh or reopen the relevant page and inspect persisted data.
5. Verify UI feedback, permissions, notifications and audit records where applicable.</t>
        </is>
      </c>
      <c r="K92" s="14" t="inlineStr">
        <is>
          <t xml:space="preserve">Recurring Saturday restriction; dated unavailable periods</t>
        </is>
      </c>
      <c r="L92" s="14" t="inlineStr">
        <is>
          <t xml:space="preserve">Future scheduling warnings use the updated rule and the change is audited.</t>
        </is>
      </c>
      <c r="M92" s="14" t="inlineStr">
        <is>
          <t xml:space="preserve">Candidate</t>
        </is>
      </c>
      <c r="N92" s="14" t="inlineStr">
        <is>
          <t xml:space="preserve">No</t>
        </is>
      </c>
      <c r="O92" s="14" t="inlineStr">
        <is>
          <t xml:space="preserve">Active</t>
        </is>
      </c>
      <c r="P92" s="14"/>
    </row>
    <row r="93">
      <c r="A93" s="14" t="inlineStr">
        <is>
          <t xml:space="preserve">RR-0092</t>
        </is>
      </c>
      <c r="B93" s="14" t="inlineStr">
        <is>
          <t xml:space="preserve">Availability</t>
        </is>
      </c>
      <c r="C93" s="14" t="inlineStr">
        <is>
          <t xml:space="preserve">Employee availability</t>
        </is>
      </c>
      <c r="D93" s="14" t="inlineStr">
        <is>
          <t xml:space="preserve">Functional</t>
        </is>
      </c>
      <c r="E93" s="14" t="inlineStr">
        <is>
          <t xml:space="preserve">Employee deletes an availability rule</t>
        </is>
      </c>
      <c r="F93" s="14" t="inlineStr">
        <is>
          <t xml:space="preserve">Medium</t>
        </is>
      </c>
      <c r="G93" s="14" t="inlineStr">
        <is>
          <t xml:space="preserve">Medium</t>
        </is>
      </c>
      <c r="H93" s="14" t="inlineStr">
        <is>
          <t xml:space="preserve">Beta</t>
        </is>
      </c>
      <c r="I93" s="14" t="inlineStr">
        <is>
          <t xml:space="preserve">Employee and manager accounts exist; employee is assigned to a location.</t>
        </is>
      </c>
      <c r="J93" s="14" t="inlineStr">
        <is>
          <t xml:space="preserve">1. Prepare the stated preconditions and sign in with the required role.
2. Navigate to Employee availability.
3. Execute: Employee deletes an availability rule.
4. Refresh or reopen the relevant page and inspect persisted data.
5. Verify UI feedback, permissions, notifications and audit records where applicable.</t>
        </is>
      </c>
      <c r="K93" s="14" t="inlineStr">
        <is>
          <t xml:space="preserve">Recurring Saturday restriction; dated unavailable periods</t>
        </is>
      </c>
      <c r="L93" s="14" t="inlineStr">
        <is>
          <t xml:space="preserve">The rule stops affecting future rota assignments without altering history.</t>
        </is>
      </c>
      <c r="M93" s="14" t="inlineStr">
        <is>
          <t xml:space="preserve">Candidate</t>
        </is>
      </c>
      <c r="N93" s="14" t="inlineStr">
        <is>
          <t xml:space="preserve">No</t>
        </is>
      </c>
      <c r="O93" s="14" t="inlineStr">
        <is>
          <t xml:space="preserve">Active</t>
        </is>
      </c>
      <c r="P93" s="14"/>
    </row>
    <row r="94">
      <c r="A94" s="14" t="inlineStr">
        <is>
          <t xml:space="preserve">RR-0093</t>
        </is>
      </c>
      <c r="B94" s="14" t="inlineStr">
        <is>
          <t xml:space="preserve">Availability</t>
        </is>
      </c>
      <c r="C94" s="14" t="inlineStr">
        <is>
          <t xml:space="preserve">Employee availability</t>
        </is>
      </c>
      <c r="D94" s="14" t="inlineStr">
        <is>
          <t xml:space="preserve">Validation</t>
        </is>
      </c>
      <c r="E94" s="14" t="inlineStr">
        <is>
          <t xml:space="preserve">Create overlapping availability rules</t>
        </is>
      </c>
      <c r="F94" s="14" t="inlineStr">
        <is>
          <t xml:space="preserve">Medium</t>
        </is>
      </c>
      <c r="G94" s="14" t="inlineStr">
        <is>
          <t xml:space="preserve">Medium</t>
        </is>
      </c>
      <c r="H94" s="14" t="inlineStr">
        <is>
          <t xml:space="preserve">Beta</t>
        </is>
      </c>
      <c r="I94" s="14" t="inlineStr">
        <is>
          <t xml:space="preserve">Employee and manager accounts exist; employee is assigned to a location.</t>
        </is>
      </c>
      <c r="J94" s="14" t="inlineStr">
        <is>
          <t xml:space="preserve">1. Prepare the stated preconditions and sign in with the required role.
2. Navigate to Employee availability.
3. Execute: Create overlapping availability rules.
4. Refresh or reopen the relevant page and inspect persisted data.
5. Verify UI feedback, permissions, notifications and audit records where applicable.</t>
        </is>
      </c>
      <c r="K94" s="14" t="inlineStr">
        <is>
          <t xml:space="preserve">Recurring Saturday restriction; dated unavailable periods</t>
        </is>
      </c>
      <c r="L94" s="14" t="inlineStr">
        <is>
          <t xml:space="preserve">The system resolves overlaps predictably and displays the effective restriction.</t>
        </is>
      </c>
      <c r="M94" s="14" t="inlineStr">
        <is>
          <t xml:space="preserve">Candidate</t>
        </is>
      </c>
      <c r="N94" s="14" t="inlineStr">
        <is>
          <t xml:space="preserve">No</t>
        </is>
      </c>
      <c r="O94" s="14" t="inlineStr">
        <is>
          <t xml:space="preserve">Active</t>
        </is>
      </c>
      <c r="P94" s="14"/>
    </row>
    <row r="95">
      <c r="A95" s="14" t="inlineStr">
        <is>
          <t xml:space="preserve">RR-0094</t>
        </is>
      </c>
      <c r="B95" s="14" t="inlineStr">
        <is>
          <t xml:space="preserve">Availability</t>
        </is>
      </c>
      <c r="C95" s="14" t="inlineStr">
        <is>
          <t xml:space="preserve">Employee availability</t>
        </is>
      </c>
      <c r="D95" s="14" t="inlineStr">
        <is>
          <t xml:space="preserve">Validation</t>
        </is>
      </c>
      <c r="E95" s="14" t="inlineStr">
        <is>
          <t xml:space="preserve">Submit an end time before the start time</t>
        </is>
      </c>
      <c r="F95" s="14" t="inlineStr">
        <is>
          <t xml:space="preserve">Medium</t>
        </is>
      </c>
      <c r="G95" s="14" t="inlineStr">
        <is>
          <t xml:space="preserve">Medium</t>
        </is>
      </c>
      <c r="H95" s="14" t="inlineStr">
        <is>
          <t xml:space="preserve">Beta</t>
        </is>
      </c>
      <c r="I95" s="14" t="inlineStr">
        <is>
          <t xml:space="preserve">Employee and manager accounts exist; employee is assigned to a location.</t>
        </is>
      </c>
      <c r="J95" s="14" t="inlineStr">
        <is>
          <t xml:space="preserve">1. Prepare the stated preconditions and sign in with the required role.
2. Navigate to Employee availability.
3. Execute: Submit an end time before the start time.
4. Refresh or reopen the relevant page and inspect persisted data.
5. Verify UI feedback, permissions, notifications and audit records where applicable.</t>
        </is>
      </c>
      <c r="K95" s="14" t="inlineStr">
        <is>
          <t xml:space="preserve">Recurring Saturday restriction; dated unavailable periods</t>
        </is>
      </c>
      <c r="L95" s="14" t="inlineStr">
        <is>
          <t xml:space="preserve">Invalid interval is rejected.</t>
        </is>
      </c>
      <c r="M95" s="14" t="inlineStr">
        <is>
          <t xml:space="preserve">Candidate</t>
        </is>
      </c>
      <c r="N95" s="14" t="inlineStr">
        <is>
          <t xml:space="preserve">No</t>
        </is>
      </c>
      <c r="O95" s="14" t="inlineStr">
        <is>
          <t xml:space="preserve">Active</t>
        </is>
      </c>
      <c r="P95" s="14"/>
    </row>
    <row r="96">
      <c r="A96" s="14" t="inlineStr">
        <is>
          <t xml:space="preserve">RR-0095</t>
        </is>
      </c>
      <c r="B96" s="14" t="inlineStr">
        <is>
          <t xml:space="preserve">Availability</t>
        </is>
      </c>
      <c r="C96" s="14" t="inlineStr">
        <is>
          <t xml:space="preserve">Employee availability</t>
        </is>
      </c>
      <c r="D96" s="14" t="inlineStr">
        <is>
          <t xml:space="preserve">Functional</t>
        </is>
      </c>
      <c r="E96" s="14" t="inlineStr">
        <is>
          <t xml:space="preserve">Availability spans midnight</t>
        </is>
      </c>
      <c r="F96" s="14" t="inlineStr">
        <is>
          <t xml:space="preserve">High</t>
        </is>
      </c>
      <c r="G96" s="14" t="inlineStr">
        <is>
          <t xml:space="preserve">Medium</t>
        </is>
      </c>
      <c r="H96" s="14" t="inlineStr">
        <is>
          <t xml:space="preserve">Beta</t>
        </is>
      </c>
      <c r="I96" s="14" t="inlineStr">
        <is>
          <t xml:space="preserve">Employee and manager accounts exist; employee is assigned to a location.</t>
        </is>
      </c>
      <c r="J96" s="14" t="inlineStr">
        <is>
          <t xml:space="preserve">1. Prepare the stated preconditions and sign in with the required role.
2. Navigate to Employee availability.
3. Execute: Availability spans midnight.
4. Refresh or reopen the relevant page and inspect persisted data.
5. Verify UI feedback, permissions, notifications and audit records where applicable.</t>
        </is>
      </c>
      <c r="K96" s="14" t="inlineStr">
        <is>
          <t xml:space="preserve">Recurring Saturday restriction; dated unavailable periods</t>
        </is>
      </c>
      <c r="L96" s="14" t="inlineStr">
        <is>
          <t xml:space="preserve">The correct calendar periods are blocked.</t>
        </is>
      </c>
      <c r="M96" s="14" t="inlineStr">
        <is>
          <t xml:space="preserve">Candidate</t>
        </is>
      </c>
      <c r="N96" s="14" t="inlineStr">
        <is>
          <t xml:space="preserve">Yes</t>
        </is>
      </c>
      <c r="O96" s="14" t="inlineStr">
        <is>
          <t xml:space="preserve">Active</t>
        </is>
      </c>
      <c r="P96" s="14"/>
    </row>
    <row r="97">
      <c r="A97" s="14" t="inlineStr">
        <is>
          <t xml:space="preserve">RR-0096</t>
        </is>
      </c>
      <c r="B97" s="14" t="inlineStr">
        <is>
          <t xml:space="preserve">Availability</t>
        </is>
      </c>
      <c r="C97" s="14" t="inlineStr">
        <is>
          <t xml:space="preserve">Employee availability</t>
        </is>
      </c>
      <c r="D97" s="14" t="inlineStr">
        <is>
          <t xml:space="preserve">Functional</t>
        </is>
      </c>
      <c r="E97" s="14" t="inlineStr">
        <is>
          <t xml:space="preserve">Manager assigns an unavailable employee</t>
        </is>
      </c>
      <c r="F97" s="14" t="inlineStr">
        <is>
          <t xml:space="preserve">Critical</t>
        </is>
      </c>
      <c r="G97" s="14" t="inlineStr">
        <is>
          <t xml:space="preserve">Medium</t>
        </is>
      </c>
      <c r="H97" s="14" t="inlineStr">
        <is>
          <t xml:space="preserve">Beta</t>
        </is>
      </c>
      <c r="I97" s="14" t="inlineStr">
        <is>
          <t xml:space="preserve">Employee and manager accounts exist; employee is assigned to a location.</t>
        </is>
      </c>
      <c r="J97" s="14" t="inlineStr">
        <is>
          <t xml:space="preserve">1. Prepare the stated preconditions and sign in with the required role.
2. Navigate to Employee availability.
3. Execute: Manager assigns an unavailable employee.
4. Refresh or reopen the relevant page and inspect persisted data.
5. Verify UI feedback, permissions, notifications and audit records where applicable.</t>
        </is>
      </c>
      <c r="K97" s="14" t="inlineStr">
        <is>
          <t xml:space="preserve">Recurring Saturday restriction; dated unavailable periods</t>
        </is>
      </c>
      <c r="L97" s="14" t="inlineStr">
        <is>
          <t xml:space="preserve">A clear conflict warning appears and override behaviour follows permission policy.</t>
        </is>
      </c>
      <c r="M97" s="14" t="inlineStr">
        <is>
          <t xml:space="preserve">Candidate</t>
        </is>
      </c>
      <c r="N97" s="14" t="inlineStr">
        <is>
          <t xml:space="preserve">Yes</t>
        </is>
      </c>
      <c r="O97" s="14" t="inlineStr">
        <is>
          <t xml:space="preserve">Active</t>
        </is>
      </c>
      <c r="P97" s="14"/>
    </row>
    <row r="98">
      <c r="A98" s="14" t="inlineStr">
        <is>
          <t xml:space="preserve">RR-0097</t>
        </is>
      </c>
      <c r="B98" s="14" t="inlineStr">
        <is>
          <t xml:space="preserve">Availability</t>
        </is>
      </c>
      <c r="C98" s="14" t="inlineStr">
        <is>
          <t xml:space="preserve">Employee availability</t>
        </is>
      </c>
      <c r="D98" s="14" t="inlineStr">
        <is>
          <t xml:space="preserve">Functional</t>
        </is>
      </c>
      <c r="E98" s="14" t="inlineStr">
        <is>
          <t xml:space="preserve">Manager overrides availability with a reason</t>
        </is>
      </c>
      <c r="F98" s="14" t="inlineStr">
        <is>
          <t xml:space="preserve">High</t>
        </is>
      </c>
      <c r="G98" s="14" t="inlineStr">
        <is>
          <t xml:space="preserve">Medium</t>
        </is>
      </c>
      <c r="H98" s="14" t="inlineStr">
        <is>
          <t xml:space="preserve">Beta</t>
        </is>
      </c>
      <c r="I98" s="14" t="inlineStr">
        <is>
          <t xml:space="preserve">Employee and manager accounts exist; employee is assigned to a location.</t>
        </is>
      </c>
      <c r="J98" s="14" t="inlineStr">
        <is>
          <t xml:space="preserve">1. Prepare the stated preconditions and sign in with the required role.
2. Navigate to Employee availability.
3. Execute: Manager overrides availability with a reason.
4. Refresh or reopen the relevant page and inspect persisted data.
5. Verify UI feedback, permissions, notifications and audit records where applicable.</t>
        </is>
      </c>
      <c r="K98" s="14" t="inlineStr">
        <is>
          <t xml:space="preserve">Recurring Saturday restriction; dated unavailable periods</t>
        </is>
      </c>
      <c r="L98" s="14" t="inlineStr">
        <is>
          <t xml:space="preserve">Assignment saves only when authorised and the reason is audited/visible.</t>
        </is>
      </c>
      <c r="M98" s="14" t="inlineStr">
        <is>
          <t xml:space="preserve">Candidate</t>
        </is>
      </c>
      <c r="N98" s="14" t="inlineStr">
        <is>
          <t xml:space="preserve">Yes</t>
        </is>
      </c>
      <c r="O98" s="14" t="inlineStr">
        <is>
          <t xml:space="preserve">Active</t>
        </is>
      </c>
      <c r="P98" s="14"/>
    </row>
    <row r="99">
      <c r="A99" s="14" t="inlineStr">
        <is>
          <t xml:space="preserve">RR-0098</t>
        </is>
      </c>
      <c r="B99" s="14" t="inlineStr">
        <is>
          <t xml:space="preserve">Availability</t>
        </is>
      </c>
      <c r="C99" s="14" t="inlineStr">
        <is>
          <t xml:space="preserve">Employee availability</t>
        </is>
      </c>
      <c r="D99" s="14" t="inlineStr">
        <is>
          <t xml:space="preserve">Functional</t>
        </is>
      </c>
      <c r="E99" s="14" t="inlineStr">
        <is>
          <t xml:space="preserve">Availability changes after a rota is published</t>
        </is>
      </c>
      <c r="F99" s="14" t="inlineStr">
        <is>
          <t xml:space="preserve">High</t>
        </is>
      </c>
      <c r="G99" s="14" t="inlineStr">
        <is>
          <t xml:space="preserve">Medium</t>
        </is>
      </c>
      <c r="H99" s="14" t="inlineStr">
        <is>
          <t xml:space="preserve">Beta</t>
        </is>
      </c>
      <c r="I99" s="14" t="inlineStr">
        <is>
          <t xml:space="preserve">Employee and manager accounts exist; employee is assigned to a location.</t>
        </is>
      </c>
      <c r="J99" s="14" t="inlineStr">
        <is>
          <t xml:space="preserve">1. Prepare the stated preconditions and sign in with the required role.
2. Navigate to Employee availability.
3. Execute: Availability changes after a rota is published.
4. Refresh or reopen the relevant page and inspect persisted data.
5. Verify UI feedback, permissions, notifications and audit records where applicable.</t>
        </is>
      </c>
      <c r="K99" s="14" t="inlineStr">
        <is>
          <t xml:space="preserve">Recurring Saturday restriction; dated unavailable periods</t>
        </is>
      </c>
      <c r="L99" s="14" t="inlineStr">
        <is>
          <t xml:space="preserve">Affected managers and employee receive the configured warning/notification without silently altering shifts.</t>
        </is>
      </c>
      <c r="M99" s="14" t="inlineStr">
        <is>
          <t xml:space="preserve">Candidate</t>
        </is>
      </c>
      <c r="N99" s="14" t="inlineStr">
        <is>
          <t xml:space="preserve">Yes</t>
        </is>
      </c>
      <c r="O99" s="14" t="inlineStr">
        <is>
          <t xml:space="preserve">Active</t>
        </is>
      </c>
      <c r="P99" s="14"/>
    </row>
    <row r="100">
      <c r="A100" s="14" t="inlineStr">
        <is>
          <t xml:space="preserve">RR-0099</t>
        </is>
      </c>
      <c r="B100" s="14" t="inlineStr">
        <is>
          <t xml:space="preserve">Availability</t>
        </is>
      </c>
      <c r="C100" s="14" t="inlineStr">
        <is>
          <t xml:space="preserve">Employee availability</t>
        </is>
      </c>
      <c r="D100" s="14" t="inlineStr">
        <is>
          <t xml:space="preserve">Functional</t>
        </is>
      </c>
      <c r="E100" s="14" t="inlineStr">
        <is>
          <t xml:space="preserve">Employee belongs to multiple locations</t>
        </is>
      </c>
      <c r="F100" s="14" t="inlineStr">
        <is>
          <t xml:space="preserve">High</t>
        </is>
      </c>
      <c r="G100" s="14" t="inlineStr">
        <is>
          <t xml:space="preserve">Medium</t>
        </is>
      </c>
      <c r="H100" s="14" t="inlineStr">
        <is>
          <t xml:space="preserve">Beta</t>
        </is>
      </c>
      <c r="I100" s="14" t="inlineStr">
        <is>
          <t xml:space="preserve">Employee and manager accounts exist; employee is assigned to a location.</t>
        </is>
      </c>
      <c r="J100" s="14" t="inlineStr">
        <is>
          <t xml:space="preserve">1. Prepare the stated preconditions and sign in with the required role.
2. Navigate to Employee availability.
3. Execute: Employee belongs to multiple locations.
4. Refresh or reopen the relevant page and inspect persisted data.
5. Verify UI feedback, permissions, notifications and audit records where applicable.</t>
        </is>
      </c>
      <c r="K100" s="14" t="inlineStr">
        <is>
          <t xml:space="preserve">Recurring Saturday restriction; dated unavailable periods</t>
        </is>
      </c>
      <c r="L100" s="14" t="inlineStr">
        <is>
          <t xml:space="preserve">Availability scope applies organisation-wide or per-location exactly as configured.</t>
        </is>
      </c>
      <c r="M100" s="14" t="inlineStr">
        <is>
          <t xml:space="preserve">Candidate</t>
        </is>
      </c>
      <c r="N100" s="14" t="inlineStr">
        <is>
          <t xml:space="preserve">Yes</t>
        </is>
      </c>
      <c r="O100" s="14" t="inlineStr">
        <is>
          <t xml:space="preserve">Active</t>
        </is>
      </c>
      <c r="P100" s="14"/>
    </row>
    <row r="101">
      <c r="A101" s="14" t="inlineStr">
        <is>
          <t xml:space="preserve">RR-0100</t>
        </is>
      </c>
      <c r="B101" s="14" t="inlineStr">
        <is>
          <t xml:space="preserve">Availability</t>
        </is>
      </c>
      <c r="C101" s="14" t="inlineStr">
        <is>
          <t xml:space="preserve">Employee availability</t>
        </is>
      </c>
      <c r="D101" s="14" t="inlineStr">
        <is>
          <t xml:space="preserve">Compatibility</t>
        </is>
      </c>
      <c r="E101" s="14" t="inlineStr">
        <is>
          <t xml:space="preserve">Availability is viewed across a daylight-saving change</t>
        </is>
      </c>
      <c r="F101" s="14" t="inlineStr">
        <is>
          <t xml:space="preserve">High</t>
        </is>
      </c>
      <c r="G101" s="14" t="inlineStr">
        <is>
          <t xml:space="preserve">Medium</t>
        </is>
      </c>
      <c r="H101" s="14" t="inlineStr">
        <is>
          <t xml:space="preserve">Beta</t>
        </is>
      </c>
      <c r="I101" s="14" t="inlineStr">
        <is>
          <t xml:space="preserve">Employee and manager accounts exist; employee is assigned to a location.</t>
        </is>
      </c>
      <c r="J101" s="14" t="inlineStr">
        <is>
          <t xml:space="preserve">1. Prepare the stated preconditions and sign in with the required role.
2. Navigate to Employee availability.
3. Execute: Availability is viewed across a daylight-saving change.
4. Refresh or reopen the relevant page and inspect persisted data.
5. Verify UI feedback, permissions, notifications and audit records where applicable.</t>
        </is>
      </c>
      <c r="K101" s="14" t="inlineStr">
        <is>
          <t xml:space="preserve">Recurring Saturday restriction; dated unavailable periods</t>
        </is>
      </c>
      <c r="L101" s="14" t="inlineStr">
        <is>
          <t xml:space="preserve">Displayed local times remain correct and no hour is lost or duplicated unexpectedly.</t>
        </is>
      </c>
      <c r="M101" s="14" t="inlineStr">
        <is>
          <t xml:space="preserve">Candidate</t>
        </is>
      </c>
      <c r="N101" s="14" t="inlineStr">
        <is>
          <t xml:space="preserve">Yes</t>
        </is>
      </c>
      <c r="O101" s="14" t="inlineStr">
        <is>
          <t xml:space="preserve">Active</t>
        </is>
      </c>
      <c r="P101" s="14"/>
    </row>
    <row r="102">
      <c r="A102" s="14" t="inlineStr">
        <is>
          <t xml:space="preserve">RR-0101</t>
        </is>
      </c>
      <c r="B102" s="14" t="inlineStr">
        <is>
          <t xml:space="preserve">Rota Builder</t>
        </is>
      </c>
      <c r="C102" s="14" t="inlineStr">
        <is>
          <t xml:space="preserve">Week and draft management</t>
        </is>
      </c>
      <c r="D102" s="14" t="inlineStr">
        <is>
          <t xml:space="preserve">Functional</t>
        </is>
      </c>
      <c r="E102" s="14" t="inlineStr">
        <is>
          <t xml:space="preserve">Open the current rota week</t>
        </is>
      </c>
      <c r="F102" s="14" t="inlineStr">
        <is>
          <t xml:space="preserve">Critical</t>
        </is>
      </c>
      <c r="G102" s="14" t="inlineStr">
        <is>
          <t xml:space="preserve">Medium</t>
        </is>
      </c>
      <c r="H102" s="14" t="inlineStr">
        <is>
          <t xml:space="preserve">Beta</t>
        </is>
      </c>
      <c r="I102" s="14" t="inlineStr">
        <is>
          <t xml:space="preserve">Manager can edit the selected location; employees, zones and a draft week exist.</t>
        </is>
      </c>
      <c r="J102" s="14" t="inlineStr">
        <is>
          <t xml:space="preserve">1. Prepare the stated preconditions and sign in with the required role.
2. Navigate to Week and draft management.
3. Execute: Open the current rota week.
4. Refresh or reopen the relevant page and inspect persisted data.
5. Verify UI feedback, permissions, notifications and audit records where applicable.</t>
        </is>
      </c>
      <c r="K102" s="14" t="inlineStr">
        <is>
          <t xml:space="preserve">Day, overnight, split and to-close shifts; 10–200 employees</t>
        </is>
      </c>
      <c r="L102" s="14" t="inlineStr">
        <is>
          <t xml:space="preserve">Correct Monday–Sunday week, location and draft/published status load.</t>
        </is>
      </c>
      <c r="M102" s="14" t="inlineStr">
        <is>
          <t xml:space="preserve">Candidate</t>
        </is>
      </c>
      <c r="N102" s="14" t="inlineStr">
        <is>
          <t xml:space="preserve">Yes</t>
        </is>
      </c>
      <c r="O102" s="14" t="inlineStr">
        <is>
          <t xml:space="preserve">Active</t>
        </is>
      </c>
      <c r="P102" s="14"/>
    </row>
    <row r="103">
      <c r="A103" s="14" t="inlineStr">
        <is>
          <t xml:space="preserve">RR-0102</t>
        </is>
      </c>
      <c r="B103" s="14" t="inlineStr">
        <is>
          <t xml:space="preserve">Rota Builder</t>
        </is>
      </c>
      <c r="C103" s="14" t="inlineStr">
        <is>
          <t xml:space="preserve">Week and draft management</t>
        </is>
      </c>
      <c r="D103" s="14" t="inlineStr">
        <is>
          <t xml:space="preserve">Functional</t>
        </is>
      </c>
      <c r="E103" s="14" t="inlineStr">
        <is>
          <t xml:space="preserve">Navigate to previous and next weeks</t>
        </is>
      </c>
      <c r="F103" s="14" t="inlineStr">
        <is>
          <t xml:space="preserve">High</t>
        </is>
      </c>
      <c r="G103" s="14" t="inlineStr">
        <is>
          <t xml:space="preserve">Medium</t>
        </is>
      </c>
      <c r="H103" s="14" t="inlineStr">
        <is>
          <t xml:space="preserve">Beta</t>
        </is>
      </c>
      <c r="I103" s="14" t="inlineStr">
        <is>
          <t xml:space="preserve">Manager can edit the selected location; employees, zones and a draft week exist.</t>
        </is>
      </c>
      <c r="J103" s="14" t="inlineStr">
        <is>
          <t xml:space="preserve">1. Prepare the stated preconditions and sign in with the required role.
2. Navigate to Week and draft management.
3. Execute: Navigate to previous and next weeks.
4. Refresh or reopen the relevant page and inspect persisted data.
5. Verify UI feedback, permissions, notifications and audit records where applicable.</t>
        </is>
      </c>
      <c r="K103" s="14" t="inlineStr">
        <is>
          <t xml:space="preserve">Day, overnight, split and to-close shifts; 10–200 employees</t>
        </is>
      </c>
      <c r="L103" s="14" t="inlineStr">
        <is>
          <t xml:space="preserve">Dates, shifts and totals update without mixing weeks.</t>
        </is>
      </c>
      <c r="M103" s="14" t="inlineStr">
        <is>
          <t xml:space="preserve">Candidate</t>
        </is>
      </c>
      <c r="N103" s="14" t="inlineStr">
        <is>
          <t xml:space="preserve">Yes</t>
        </is>
      </c>
      <c r="O103" s="14" t="inlineStr">
        <is>
          <t xml:space="preserve">Active</t>
        </is>
      </c>
      <c r="P103" s="14"/>
    </row>
    <row r="104">
      <c r="A104" s="14" t="inlineStr">
        <is>
          <t xml:space="preserve">RR-0103</t>
        </is>
      </c>
      <c r="B104" s="14" t="inlineStr">
        <is>
          <t xml:space="preserve">Rota Builder</t>
        </is>
      </c>
      <c r="C104" s="14" t="inlineStr">
        <is>
          <t xml:space="preserve">Week and draft management</t>
        </is>
      </c>
      <c r="D104" s="14" t="inlineStr">
        <is>
          <t xml:space="preserve">Functional</t>
        </is>
      </c>
      <c r="E104" s="14" t="inlineStr">
        <is>
          <t xml:space="preserve">Create a new empty rota week</t>
        </is>
      </c>
      <c r="F104" s="14" t="inlineStr">
        <is>
          <t xml:space="preserve">Critical</t>
        </is>
      </c>
      <c r="G104" s="14" t="inlineStr">
        <is>
          <t xml:space="preserve">Medium</t>
        </is>
      </c>
      <c r="H104" s="14" t="inlineStr">
        <is>
          <t xml:space="preserve">Beta</t>
        </is>
      </c>
      <c r="I104" s="14" t="inlineStr">
        <is>
          <t xml:space="preserve">Manager can edit the selected location; employees, zones and a draft week exist.</t>
        </is>
      </c>
      <c r="J104" s="14" t="inlineStr">
        <is>
          <t xml:space="preserve">1. Prepare the stated preconditions and sign in with the required role.
2. Navigate to Week and draft management.
3. Execute: Create a new empty rota week.
4. Refresh or reopen the relevant page and inspect persisted data.
5. Verify UI feedback, permissions, notifications and audit records where applicable.</t>
        </is>
      </c>
      <c r="K104" s="14" t="inlineStr">
        <is>
          <t xml:space="preserve">Day, overnight, split and to-close shifts; 10–200 employees</t>
        </is>
      </c>
      <c r="L104" s="14" t="inlineStr">
        <is>
          <t xml:space="preserve">A single draft week is created with no duplicate records.</t>
        </is>
      </c>
      <c r="M104" s="14" t="inlineStr">
        <is>
          <t xml:space="preserve">Candidate</t>
        </is>
      </c>
      <c r="N104" s="14" t="inlineStr">
        <is>
          <t xml:space="preserve">Yes</t>
        </is>
      </c>
      <c r="O104" s="14" t="inlineStr">
        <is>
          <t xml:space="preserve">Active</t>
        </is>
      </c>
      <c r="P104" s="14"/>
    </row>
    <row r="105">
      <c r="A105" s="14" t="inlineStr">
        <is>
          <t xml:space="preserve">RR-0104</t>
        </is>
      </c>
      <c r="B105" s="14" t="inlineStr">
        <is>
          <t xml:space="preserve">Rota Builder</t>
        </is>
      </c>
      <c r="C105" s="14" t="inlineStr">
        <is>
          <t xml:space="preserve">Week and draft management</t>
        </is>
      </c>
      <c r="D105" s="14" t="inlineStr">
        <is>
          <t xml:space="preserve">Concurrency</t>
        </is>
      </c>
      <c r="E105" s="14" t="inlineStr">
        <is>
          <t xml:space="preserve">Open the same draft in two tabs</t>
        </is>
      </c>
      <c r="F105" s="14" t="inlineStr">
        <is>
          <t xml:space="preserve">Critical</t>
        </is>
      </c>
      <c r="G105" s="14" t="inlineStr">
        <is>
          <t xml:space="preserve">Medium</t>
        </is>
      </c>
      <c r="H105" s="14" t="inlineStr">
        <is>
          <t xml:space="preserve">Beta</t>
        </is>
      </c>
      <c r="I105" s="14" t="inlineStr">
        <is>
          <t xml:space="preserve">Manager can edit the selected location; employees, zones and a draft week exist.</t>
        </is>
      </c>
      <c r="J105" s="14" t="inlineStr">
        <is>
          <t xml:space="preserve">1. Prepare the stated preconditions and sign in with the required role.
2. Navigate to Week and draft management.
3. Execute: Open the same draft in two tabs.
4. Refresh or reopen the relevant page and inspect persisted data.
5. Verify UI feedback, permissions, notifications and audit records where applicable.</t>
        </is>
      </c>
      <c r="K105" s="14" t="inlineStr">
        <is>
          <t xml:space="preserve">Day, overnight, split and to-close shifts; 10–200 employees</t>
        </is>
      </c>
      <c r="L105" s="14" t="inlineStr">
        <is>
          <t xml:space="preserve">Concurrent edits are handled with locking, version conflict or clear last-write policy.</t>
        </is>
      </c>
      <c r="M105" s="14" t="inlineStr">
        <is>
          <t xml:space="preserve">Candidate</t>
        </is>
      </c>
      <c r="N105" s="14" t="inlineStr">
        <is>
          <t xml:space="preserve">Yes</t>
        </is>
      </c>
      <c r="O105" s="14" t="inlineStr">
        <is>
          <t xml:space="preserve">Active</t>
        </is>
      </c>
      <c r="P105" s="14"/>
    </row>
    <row r="106">
      <c r="A106" s="14" t="inlineStr">
        <is>
          <t xml:space="preserve">RR-0105</t>
        </is>
      </c>
      <c r="B106" s="14" t="inlineStr">
        <is>
          <t xml:space="preserve">Rota Builder</t>
        </is>
      </c>
      <c r="C106" s="14" t="inlineStr">
        <is>
          <t xml:space="preserve">Week and draft management</t>
        </is>
      </c>
      <c r="D106" s="14" t="inlineStr">
        <is>
          <t xml:space="preserve">Reliability</t>
        </is>
      </c>
      <c r="E106" s="14" t="inlineStr">
        <is>
          <t xml:space="preserve">Leave the page with unsaved changes</t>
        </is>
      </c>
      <c r="F106" s="14" t="inlineStr">
        <is>
          <t xml:space="preserve">High</t>
        </is>
      </c>
      <c r="G106" s="14" t="inlineStr">
        <is>
          <t xml:space="preserve">Medium</t>
        </is>
      </c>
      <c r="H106" s="14" t="inlineStr">
        <is>
          <t xml:space="preserve">Beta</t>
        </is>
      </c>
      <c r="I106" s="14" t="inlineStr">
        <is>
          <t xml:space="preserve">Manager can edit the selected location; employees, zones and a draft week exist.</t>
        </is>
      </c>
      <c r="J106" s="14" t="inlineStr">
        <is>
          <t xml:space="preserve">1. Prepare the stated preconditions and sign in with the required role.
2. Navigate to Week and draft management.
3. Execute: Leave the page with unsaved changes.
4. Refresh or reopen the relevant page and inspect persisted data.
5. Verify UI feedback, permissions, notifications and audit records where applicable.</t>
        </is>
      </c>
      <c r="K106" s="14" t="inlineStr">
        <is>
          <t xml:space="preserve">Day, overnight, split and to-close shifts; 10–200 employees</t>
        </is>
      </c>
      <c r="L106" s="14" t="inlineStr">
        <is>
          <t xml:space="preserve">The user receives a warning or changes are safely autosaved according to product policy.</t>
        </is>
      </c>
      <c r="M106" s="14" t="inlineStr">
        <is>
          <t xml:space="preserve">Candidate</t>
        </is>
      </c>
      <c r="N106" s="14" t="inlineStr">
        <is>
          <t xml:space="preserve">Yes</t>
        </is>
      </c>
      <c r="O106" s="14" t="inlineStr">
        <is>
          <t xml:space="preserve">Active</t>
        </is>
      </c>
      <c r="P106" s="14"/>
    </row>
    <row r="107">
      <c r="A107" s="14" t="inlineStr">
        <is>
          <t xml:space="preserve">RR-0106</t>
        </is>
      </c>
      <c r="B107" s="14" t="inlineStr">
        <is>
          <t xml:space="preserve">Rota Builder</t>
        </is>
      </c>
      <c r="C107" s="14" t="inlineStr">
        <is>
          <t xml:space="preserve">Week and draft management</t>
        </is>
      </c>
      <c r="D107" s="14" t="inlineStr">
        <is>
          <t xml:space="preserve">Functional</t>
        </is>
      </c>
      <c r="E107" s="14" t="inlineStr">
        <is>
          <t xml:space="preserve">Save a populated draft</t>
        </is>
      </c>
      <c r="F107" s="14" t="inlineStr">
        <is>
          <t xml:space="preserve">Critical</t>
        </is>
      </c>
      <c r="G107" s="14" t="inlineStr">
        <is>
          <t xml:space="preserve">Medium</t>
        </is>
      </c>
      <c r="H107" s="14" t="inlineStr">
        <is>
          <t xml:space="preserve">Beta</t>
        </is>
      </c>
      <c r="I107" s="14" t="inlineStr">
        <is>
          <t xml:space="preserve">Manager can edit the selected location; employees, zones and a draft week exist.</t>
        </is>
      </c>
      <c r="J107" s="14" t="inlineStr">
        <is>
          <t xml:space="preserve">1. Prepare the stated preconditions and sign in with the required role.
2. Navigate to Week and draft management.
3. Execute: Save a populated draft.
4. Refresh or reopen the relevant page and inspect persisted data.
5. Verify UI feedback, permissions, notifications and audit records where applicable.</t>
        </is>
      </c>
      <c r="K107" s="14" t="inlineStr">
        <is>
          <t xml:space="preserve">Day, overnight, split and to-close shifts; 10–200 employees</t>
        </is>
      </c>
      <c r="L107" s="14" t="inlineStr">
        <is>
          <t xml:space="preserve">All shift data, order, notes and assignments persist after refresh.</t>
        </is>
      </c>
      <c r="M107" s="14" t="inlineStr">
        <is>
          <t xml:space="preserve">Candidate</t>
        </is>
      </c>
      <c r="N107" s="14" t="inlineStr">
        <is>
          <t xml:space="preserve">Yes</t>
        </is>
      </c>
      <c r="O107" s="14" t="inlineStr">
        <is>
          <t xml:space="preserve">Active</t>
        </is>
      </c>
      <c r="P107" s="14"/>
    </row>
    <row r="108">
      <c r="A108" s="14" t="inlineStr">
        <is>
          <t xml:space="preserve">RR-0107</t>
        </is>
      </c>
      <c r="B108" s="14" t="inlineStr">
        <is>
          <t xml:space="preserve">Rota Builder</t>
        </is>
      </c>
      <c r="C108" s="14" t="inlineStr">
        <is>
          <t xml:space="preserve">Week and draft management</t>
        </is>
      </c>
      <c r="D108" s="14" t="inlineStr">
        <is>
          <t xml:space="preserve">Concurrency</t>
        </is>
      </c>
      <c r="E108" s="14" t="inlineStr">
        <is>
          <t xml:space="preserve">Rapidly click Save multiple times</t>
        </is>
      </c>
      <c r="F108" s="14" t="inlineStr">
        <is>
          <t xml:space="preserve">High</t>
        </is>
      </c>
      <c r="G108" s="14" t="inlineStr">
        <is>
          <t xml:space="preserve">Medium</t>
        </is>
      </c>
      <c r="H108" s="14" t="inlineStr">
        <is>
          <t xml:space="preserve">Beta</t>
        </is>
      </c>
      <c r="I108" s="14" t="inlineStr">
        <is>
          <t xml:space="preserve">Manager can edit the selected location; employees, zones and a draft week exist.</t>
        </is>
      </c>
      <c r="J108" s="14" t="inlineStr">
        <is>
          <t xml:space="preserve">1. Prepare the stated preconditions and sign in with the required role.
2. Navigate to Week and draft management.
3. Execute: Rapidly click Save multiple times.
4. Refresh or reopen the relevant page and inspect persisted data.
5. Verify UI feedback, permissions, notifications and audit records where applicable.</t>
        </is>
      </c>
      <c r="K108" s="14" t="inlineStr">
        <is>
          <t xml:space="preserve">Day, overnight, split and to-close shifts; 10–200 employees</t>
        </is>
      </c>
      <c r="L108" s="14" t="inlineStr">
        <is>
          <t xml:space="preserve">Only one consistent version is stored and no duplicate shifts are created.</t>
        </is>
      </c>
      <c r="M108" s="14" t="inlineStr">
        <is>
          <t xml:space="preserve">Candidate</t>
        </is>
      </c>
      <c r="N108" s="14" t="inlineStr">
        <is>
          <t xml:space="preserve">Yes</t>
        </is>
      </c>
      <c r="O108" s="14" t="inlineStr">
        <is>
          <t xml:space="preserve">Active</t>
        </is>
      </c>
      <c r="P108" s="14"/>
    </row>
    <row r="109">
      <c r="A109" s="14" t="inlineStr">
        <is>
          <t xml:space="preserve">RR-0108</t>
        </is>
      </c>
      <c r="B109" s="14" t="inlineStr">
        <is>
          <t xml:space="preserve">Rota Builder</t>
        </is>
      </c>
      <c r="C109" s="14" t="inlineStr">
        <is>
          <t xml:space="preserve">Week and draft management</t>
        </is>
      </c>
      <c r="D109" s="14" t="inlineStr">
        <is>
          <t xml:space="preserve">Recovery</t>
        </is>
      </c>
      <c r="E109" s="14" t="inlineStr">
        <is>
          <t xml:space="preserve">Recover after a save request times out</t>
        </is>
      </c>
      <c r="F109" s="14" t="inlineStr">
        <is>
          <t xml:space="preserve">Critical</t>
        </is>
      </c>
      <c r="G109" s="14" t="inlineStr">
        <is>
          <t xml:space="preserve">Medium</t>
        </is>
      </c>
      <c r="H109" s="14" t="inlineStr">
        <is>
          <t xml:space="preserve">Beta</t>
        </is>
      </c>
      <c r="I109" s="14" t="inlineStr">
        <is>
          <t xml:space="preserve">Manager can edit the selected location; employees, zones and a draft week exist.</t>
        </is>
      </c>
      <c r="J109" s="14" t="inlineStr">
        <is>
          <t xml:space="preserve">1. Prepare the stated preconditions and sign in with the required role.
2. Navigate to Week and draft management.
3. Execute: Recover after a save request times out.
4. Refresh or reopen the relevant page and inspect persisted data.
5. Verify UI feedback, permissions, notifications and audit records where applicable.</t>
        </is>
      </c>
      <c r="K109" s="14" t="inlineStr">
        <is>
          <t xml:space="preserve">Day, overnight, split and to-close shifts; 10–200 employees</t>
        </is>
      </c>
      <c r="L109" s="14" t="inlineStr">
        <is>
          <t xml:space="preserve">The UI reports uncertainty safely and retrying does not duplicate data.</t>
        </is>
      </c>
      <c r="M109" s="14" t="inlineStr">
        <is>
          <t xml:space="preserve">Candidate</t>
        </is>
      </c>
      <c r="N109" s="14" t="inlineStr">
        <is>
          <t xml:space="preserve">Yes</t>
        </is>
      </c>
      <c r="O109" s="14" t="inlineStr">
        <is>
          <t xml:space="preserve">Active</t>
        </is>
      </c>
      <c r="P109" s="14"/>
    </row>
    <row r="110">
      <c r="A110" s="14" t="inlineStr">
        <is>
          <t xml:space="preserve">RR-0109</t>
        </is>
      </c>
      <c r="B110" s="14" t="inlineStr">
        <is>
          <t xml:space="preserve">Rota Builder</t>
        </is>
      </c>
      <c r="C110" s="14" t="inlineStr">
        <is>
          <t xml:space="preserve">Shift creation and editing</t>
        </is>
      </c>
      <c r="D110" s="14" t="inlineStr">
        <is>
          <t xml:space="preserve">Functional</t>
        </is>
      </c>
      <c r="E110" s="14" t="inlineStr">
        <is>
          <t xml:space="preserve">Create a standard daytime shift</t>
        </is>
      </c>
      <c r="F110" s="14" t="inlineStr">
        <is>
          <t xml:space="preserve">Critical</t>
        </is>
      </c>
      <c r="G110" s="14" t="inlineStr">
        <is>
          <t xml:space="preserve">Medium</t>
        </is>
      </c>
      <c r="H110" s="14" t="inlineStr">
        <is>
          <t xml:space="preserve">Beta</t>
        </is>
      </c>
      <c r="I110" s="14" t="inlineStr">
        <is>
          <t xml:space="preserve">Manager can edit the selected location; employees, zones and a draft week exist.</t>
        </is>
      </c>
      <c r="J110" s="14" t="inlineStr">
        <is>
          <t xml:space="preserve">1. Prepare the stated preconditions and sign in with the required role.
2. Navigate to Shift creation and editing.
3. Execute: Create a standard daytime shift.
4. Refresh or reopen the relevant page and inspect persisted data.
5. Verify UI feedback, permissions, notifications and audit records where applicable.</t>
        </is>
      </c>
      <c r="K110" s="14" t="inlineStr">
        <is>
          <t xml:space="preserve">Day, overnight, split and to-close shifts; 10–200 employees</t>
        </is>
      </c>
      <c r="L110" s="14" t="inlineStr">
        <is>
          <t xml:space="preserve">Shift appears on the correct day, zone and employee row with accurate hours/cost.</t>
        </is>
      </c>
      <c r="M110" s="14" t="inlineStr">
        <is>
          <t xml:space="preserve">Candidate</t>
        </is>
      </c>
      <c r="N110" s="14" t="inlineStr">
        <is>
          <t xml:space="preserve">Yes</t>
        </is>
      </c>
      <c r="O110" s="14" t="inlineStr">
        <is>
          <t xml:space="preserve">Active</t>
        </is>
      </c>
      <c r="P110" s="14"/>
    </row>
    <row r="111">
      <c r="A111" s="14" t="inlineStr">
        <is>
          <t xml:space="preserve">RR-0110</t>
        </is>
      </c>
      <c r="B111" s="14" t="inlineStr">
        <is>
          <t xml:space="preserve">Rota Builder</t>
        </is>
      </c>
      <c r="C111" s="14" t="inlineStr">
        <is>
          <t xml:space="preserve">Shift creation and editing</t>
        </is>
      </c>
      <c r="D111" s="14" t="inlineStr">
        <is>
          <t xml:space="preserve">Functional</t>
        </is>
      </c>
      <c r="E111" s="14" t="inlineStr">
        <is>
          <t xml:space="preserve">Create an overnight shift ending the next day</t>
        </is>
      </c>
      <c r="F111" s="14" t="inlineStr">
        <is>
          <t xml:space="preserve">Critical</t>
        </is>
      </c>
      <c r="G111" s="14" t="inlineStr">
        <is>
          <t xml:space="preserve">Medium</t>
        </is>
      </c>
      <c r="H111" s="14" t="inlineStr">
        <is>
          <t xml:space="preserve">Beta</t>
        </is>
      </c>
      <c r="I111" s="14" t="inlineStr">
        <is>
          <t xml:space="preserve">Manager can edit the selected location; employees, zones and a draft week exist.</t>
        </is>
      </c>
      <c r="J111" s="14" t="inlineStr">
        <is>
          <t xml:space="preserve">1. Prepare the stated preconditions and sign in with the required role.
2. Navigate to Shift creation and editing.
3. Execute: Create an overnight shift ending the next day.
4. Refresh or reopen the relevant page and inspect persisted data.
5. Verify UI feedback, permissions, notifications and audit records where applicable.</t>
        </is>
      </c>
      <c r="K111" s="14" t="inlineStr">
        <is>
          <t xml:space="preserve">Day, overnight, split and to-close shifts; 10–200 employees</t>
        </is>
      </c>
      <c r="L111" s="14" t="inlineStr">
        <is>
          <t xml:space="preserve">Duration, date labels and timesheet boundaries are correct.</t>
        </is>
      </c>
      <c r="M111" s="14" t="inlineStr">
        <is>
          <t xml:space="preserve">Candidate</t>
        </is>
      </c>
      <c r="N111" s="14" t="inlineStr">
        <is>
          <t xml:space="preserve">Yes</t>
        </is>
      </c>
      <c r="O111" s="14" t="inlineStr">
        <is>
          <t xml:space="preserve">Active</t>
        </is>
      </c>
      <c r="P111" s="14"/>
    </row>
    <row r="112">
      <c r="A112" s="14" t="inlineStr">
        <is>
          <t xml:space="preserve">RR-0111</t>
        </is>
      </c>
      <c r="B112" s="14" t="inlineStr">
        <is>
          <t xml:space="preserve">Rota Builder</t>
        </is>
      </c>
      <c r="C112" s="14" t="inlineStr">
        <is>
          <t xml:space="preserve">Shift creation and editing</t>
        </is>
      </c>
      <c r="D112" s="14" t="inlineStr">
        <is>
          <t xml:space="preserve">Functional</t>
        </is>
      </c>
      <c r="E112" s="14" t="inlineStr">
        <is>
          <t xml:space="preserve">Create a to-close shift</t>
        </is>
      </c>
      <c r="F112" s="14" t="inlineStr">
        <is>
          <t xml:space="preserve">High</t>
        </is>
      </c>
      <c r="G112" s="14" t="inlineStr">
        <is>
          <t xml:space="preserve">Medium</t>
        </is>
      </c>
      <c r="H112" s="14" t="inlineStr">
        <is>
          <t xml:space="preserve">Beta</t>
        </is>
      </c>
      <c r="I112" s="14" t="inlineStr">
        <is>
          <t xml:space="preserve">Manager can edit the selected location; employees, zones and a draft week exist.</t>
        </is>
      </c>
      <c r="J112" s="14" t="inlineStr">
        <is>
          <t xml:space="preserve">1. Prepare the stated preconditions and sign in with the required role.
2. Navigate to Shift creation and editing.
3. Execute: Create a to-close shift.
4. Refresh or reopen the relevant page and inspect persisted data.
5. Verify UI feedback, permissions, notifications and audit records where applicable.</t>
        </is>
      </c>
      <c r="K112" s="14" t="inlineStr">
        <is>
          <t xml:space="preserve">Day, overnight, split and to-close shifts; 10–200 employees</t>
        </is>
      </c>
      <c r="L112" s="14" t="inlineStr">
        <is>
          <t xml:space="preserve">The shift displays the close state and downstream exports/notifications represent it correctly.</t>
        </is>
      </c>
      <c r="M112" s="14" t="inlineStr">
        <is>
          <t xml:space="preserve">Candidate</t>
        </is>
      </c>
      <c r="N112" s="14" t="inlineStr">
        <is>
          <t xml:space="preserve">Yes</t>
        </is>
      </c>
      <c r="O112" s="14" t="inlineStr">
        <is>
          <t xml:space="preserve">Active</t>
        </is>
      </c>
      <c r="P112" s="14"/>
    </row>
    <row r="113">
      <c r="A113" s="14" t="inlineStr">
        <is>
          <t xml:space="preserve">RR-0112</t>
        </is>
      </c>
      <c r="B113" s="14" t="inlineStr">
        <is>
          <t xml:space="preserve">Rota Builder</t>
        </is>
      </c>
      <c r="C113" s="14" t="inlineStr">
        <is>
          <t xml:space="preserve">Shift creation and editing</t>
        </is>
      </c>
      <c r="D113" s="14" t="inlineStr">
        <is>
          <t xml:space="preserve">Functional</t>
        </is>
      </c>
      <c r="E113" s="14" t="inlineStr">
        <is>
          <t xml:space="preserve">Create a split shift for one employee</t>
        </is>
      </c>
      <c r="F113" s="14" t="inlineStr">
        <is>
          <t xml:space="preserve">Critical</t>
        </is>
      </c>
      <c r="G113" s="14" t="inlineStr">
        <is>
          <t xml:space="preserve">Medium</t>
        </is>
      </c>
      <c r="H113" s="14" t="inlineStr">
        <is>
          <t xml:space="preserve">Beta</t>
        </is>
      </c>
      <c r="I113" s="14" t="inlineStr">
        <is>
          <t xml:space="preserve">Manager can edit the selected location; employees, zones and a draft week exist.</t>
        </is>
      </c>
      <c r="J113" s="14" t="inlineStr">
        <is>
          <t xml:space="preserve">1. Prepare the stated preconditions and sign in with the required role.
2. Navigate to Shift creation and editing.
3. Execute: Create a split shift for one employee.
4. Refresh or reopen the relevant page and inspect persisted data.
5. Verify UI feedback, permissions, notifications and audit records where applicable.</t>
        </is>
      </c>
      <c r="K113" s="14" t="inlineStr">
        <is>
          <t xml:space="preserve">Day, overnight, split and to-close shifts; 10–200 employees</t>
        </is>
      </c>
      <c r="L113" s="14" t="inlineStr">
        <is>
          <t xml:space="preserve">Both segments display separately and totals exclude the gap.</t>
        </is>
      </c>
      <c r="M113" s="14" t="inlineStr">
        <is>
          <t xml:space="preserve">Candidate</t>
        </is>
      </c>
      <c r="N113" s="14" t="inlineStr">
        <is>
          <t xml:space="preserve">Yes</t>
        </is>
      </c>
      <c r="O113" s="14" t="inlineStr">
        <is>
          <t xml:space="preserve">Active</t>
        </is>
      </c>
      <c r="P113" s="14"/>
    </row>
    <row r="114">
      <c r="A114" s="14" t="inlineStr">
        <is>
          <t xml:space="preserve">RR-0113</t>
        </is>
      </c>
      <c r="B114" s="14" t="inlineStr">
        <is>
          <t xml:space="preserve">Rota Builder</t>
        </is>
      </c>
      <c r="C114" s="14" t="inlineStr">
        <is>
          <t xml:space="preserve">Shift creation and editing</t>
        </is>
      </c>
      <c r="D114" s="14" t="inlineStr">
        <is>
          <t xml:space="preserve">Functional</t>
        </is>
      </c>
      <c r="E114" s="14" t="inlineStr">
        <is>
          <t xml:space="preserve">Add an unpaid break</t>
        </is>
      </c>
      <c r="F114" s="14" t="inlineStr">
        <is>
          <t xml:space="preserve">High</t>
        </is>
      </c>
      <c r="G114" s="14" t="inlineStr">
        <is>
          <t xml:space="preserve">Medium</t>
        </is>
      </c>
      <c r="H114" s="14" t="inlineStr">
        <is>
          <t xml:space="preserve">Beta</t>
        </is>
      </c>
      <c r="I114" s="14" t="inlineStr">
        <is>
          <t xml:space="preserve">Manager can edit the selected location; employees, zones and a draft week exist.</t>
        </is>
      </c>
      <c r="J114" s="14" t="inlineStr">
        <is>
          <t xml:space="preserve">1. Prepare the stated preconditions and sign in with the required role.
2. Navigate to Shift creation and editing.
3. Execute: Add an unpaid break.
4. Refresh or reopen the relevant page and inspect persisted data.
5. Verify UI feedback, permissions, notifications and audit records where applicable.</t>
        </is>
      </c>
      <c r="K114" s="14" t="inlineStr">
        <is>
          <t xml:space="preserve">Day, overnight, split and to-close shifts; 10–200 employees</t>
        </is>
      </c>
      <c r="L114" s="14" t="inlineStr">
        <is>
          <t xml:space="preserve">Paid hours and estimated cost deduct the break exactly once.</t>
        </is>
      </c>
      <c r="M114" s="14" t="inlineStr">
        <is>
          <t xml:space="preserve">Candidate</t>
        </is>
      </c>
      <c r="N114" s="14" t="inlineStr">
        <is>
          <t xml:space="preserve">Yes</t>
        </is>
      </c>
      <c r="O114" s="14" t="inlineStr">
        <is>
          <t xml:space="preserve">Active</t>
        </is>
      </c>
      <c r="P114" s="14"/>
    </row>
    <row r="115">
      <c r="A115" s="14" t="inlineStr">
        <is>
          <t xml:space="preserve">RR-0114</t>
        </is>
      </c>
      <c r="B115" s="14" t="inlineStr">
        <is>
          <t xml:space="preserve">Rota Builder</t>
        </is>
      </c>
      <c r="C115" s="14" t="inlineStr">
        <is>
          <t xml:space="preserve">Shift creation and editing</t>
        </is>
      </c>
      <c r="D115" s="14" t="inlineStr">
        <is>
          <t xml:space="preserve">Validation</t>
        </is>
      </c>
      <c r="E115" s="14" t="inlineStr">
        <is>
          <t xml:space="preserve">Enter a break longer than the shift</t>
        </is>
      </c>
      <c r="F115" s="14" t="inlineStr">
        <is>
          <t xml:space="preserve">High</t>
        </is>
      </c>
      <c r="G115" s="14" t="inlineStr">
        <is>
          <t xml:space="preserve">Medium</t>
        </is>
      </c>
      <c r="H115" s="14" t="inlineStr">
        <is>
          <t xml:space="preserve">Beta</t>
        </is>
      </c>
      <c r="I115" s="14" t="inlineStr">
        <is>
          <t xml:space="preserve">Manager can edit the selected location; employees, zones and a draft week exist.</t>
        </is>
      </c>
      <c r="J115" s="14" t="inlineStr">
        <is>
          <t xml:space="preserve">1. Prepare the stated preconditions and sign in with the required role.
2. Navigate to Shift creation and editing.
3. Execute: Enter a break longer than the shift.
4. Refresh or reopen the relevant page and inspect persisted data.
5. Verify UI feedback, permissions, notifications and audit records where applicable.</t>
        </is>
      </c>
      <c r="K115" s="14" t="inlineStr">
        <is>
          <t xml:space="preserve">Day, overnight, split and to-close shifts; 10–200 employees</t>
        </is>
      </c>
      <c r="L115" s="14" t="inlineStr">
        <is>
          <t xml:space="preserve">Validation blocks the invalid shift.</t>
        </is>
      </c>
      <c r="M115" s="14" t="inlineStr">
        <is>
          <t xml:space="preserve">Candidate</t>
        </is>
      </c>
      <c r="N115" s="14" t="inlineStr">
        <is>
          <t xml:space="preserve">Yes</t>
        </is>
      </c>
      <c r="O115" s="14" t="inlineStr">
        <is>
          <t xml:space="preserve">Active</t>
        </is>
      </c>
      <c r="P115" s="14"/>
    </row>
    <row r="116">
      <c r="A116" s="14" t="inlineStr">
        <is>
          <t xml:space="preserve">RR-0115</t>
        </is>
      </c>
      <c r="B116" s="14" t="inlineStr">
        <is>
          <t xml:space="preserve">Rota Builder</t>
        </is>
      </c>
      <c r="C116" s="14" t="inlineStr">
        <is>
          <t xml:space="preserve">Shift creation and editing</t>
        </is>
      </c>
      <c r="D116" s="14" t="inlineStr">
        <is>
          <t xml:space="preserve">Validation</t>
        </is>
      </c>
      <c r="E116" s="14" t="inlineStr">
        <is>
          <t xml:space="preserve">Enter an end time equal to start time</t>
        </is>
      </c>
      <c r="F116" s="14" t="inlineStr">
        <is>
          <t xml:space="preserve">High</t>
        </is>
      </c>
      <c r="G116" s="14" t="inlineStr">
        <is>
          <t xml:space="preserve">Medium</t>
        </is>
      </c>
      <c r="H116" s="14" t="inlineStr">
        <is>
          <t xml:space="preserve">Beta</t>
        </is>
      </c>
      <c r="I116" s="14" t="inlineStr">
        <is>
          <t xml:space="preserve">Manager can edit the selected location; employees, zones and a draft week exist.</t>
        </is>
      </c>
      <c r="J116" s="14" t="inlineStr">
        <is>
          <t xml:space="preserve">1. Prepare the stated preconditions and sign in with the required role.
2. Navigate to Shift creation and editing.
3. Execute: Enter an end time equal to start time.
4. Refresh or reopen the relevant page and inspect persisted data.
5. Verify UI feedback, permissions, notifications and audit records where applicable.</t>
        </is>
      </c>
      <c r="K116" s="14" t="inlineStr">
        <is>
          <t xml:space="preserve">Day, overnight, split and to-close shifts; 10–200 employees</t>
        </is>
      </c>
      <c r="L116" s="14" t="inlineStr">
        <is>
          <t xml:space="preserve">The system requires explicit overnight intent or rejects zero-duration shifts.</t>
        </is>
      </c>
      <c r="M116" s="14" t="inlineStr">
        <is>
          <t xml:space="preserve">Candidate</t>
        </is>
      </c>
      <c r="N116" s="14" t="inlineStr">
        <is>
          <t xml:space="preserve">Yes</t>
        </is>
      </c>
      <c r="O116" s="14" t="inlineStr">
        <is>
          <t xml:space="preserve">Active</t>
        </is>
      </c>
      <c r="P116" s="14"/>
    </row>
    <row r="117">
      <c r="A117" s="14" t="inlineStr">
        <is>
          <t xml:space="preserve">RR-0116</t>
        </is>
      </c>
      <c r="B117" s="14" t="inlineStr">
        <is>
          <t xml:space="preserve">Rota Builder</t>
        </is>
      </c>
      <c r="C117" s="14" t="inlineStr">
        <is>
          <t xml:space="preserve">Shift creation and editing</t>
        </is>
      </c>
      <c r="D117" s="14" t="inlineStr">
        <is>
          <t xml:space="preserve">Functional</t>
        </is>
      </c>
      <c r="E117" s="14" t="inlineStr">
        <is>
          <t xml:space="preserve">Edit shift start and end time inline</t>
        </is>
      </c>
      <c r="F117" s="14" t="inlineStr">
        <is>
          <t xml:space="preserve">Critical</t>
        </is>
      </c>
      <c r="G117" s="14" t="inlineStr">
        <is>
          <t xml:space="preserve">Medium</t>
        </is>
      </c>
      <c r="H117" s="14" t="inlineStr">
        <is>
          <t xml:space="preserve">Beta</t>
        </is>
      </c>
      <c r="I117" s="14" t="inlineStr">
        <is>
          <t xml:space="preserve">Manager can edit the selected location; employees, zones and a draft week exist.</t>
        </is>
      </c>
      <c r="J117" s="14" t="inlineStr">
        <is>
          <t xml:space="preserve">1. Prepare the stated preconditions and sign in with the required role.
2. Navigate to Shift creation and editing.
3. Execute: Edit shift start and end time inline.
4. Refresh or reopen the relevant page and inspect persisted data.
5. Verify UI feedback, permissions, notifications and audit records where applicable.</t>
        </is>
      </c>
      <c r="K117" s="14" t="inlineStr">
        <is>
          <t xml:space="preserve">Day, overnight, split and to-close shifts; 10–200 employees</t>
        </is>
      </c>
      <c r="L117" s="14" t="inlineStr">
        <is>
          <t xml:space="preserve">The shift updates and totals recalculate immediately.</t>
        </is>
      </c>
      <c r="M117" s="14" t="inlineStr">
        <is>
          <t xml:space="preserve">Candidate</t>
        </is>
      </c>
      <c r="N117" s="14" t="inlineStr">
        <is>
          <t xml:space="preserve">Yes</t>
        </is>
      </c>
      <c r="O117" s="14" t="inlineStr">
        <is>
          <t xml:space="preserve">Active</t>
        </is>
      </c>
      <c r="P117" s="14"/>
    </row>
    <row r="118">
      <c r="A118" s="14" t="inlineStr">
        <is>
          <t xml:space="preserve">RR-0117</t>
        </is>
      </c>
      <c r="B118" s="14" t="inlineStr">
        <is>
          <t xml:space="preserve">Rota Builder</t>
        </is>
      </c>
      <c r="C118" s="14" t="inlineStr">
        <is>
          <t xml:space="preserve">Shift creation and editing</t>
        </is>
      </c>
      <c r="D118" s="14" t="inlineStr">
        <is>
          <t xml:space="preserve">Functional</t>
        </is>
      </c>
      <c r="E118" s="14" t="inlineStr">
        <is>
          <t xml:space="preserve">Change a shift's zone</t>
        </is>
      </c>
      <c r="F118" s="14" t="inlineStr">
        <is>
          <t xml:space="preserve">High</t>
        </is>
      </c>
      <c r="G118" s="14" t="inlineStr">
        <is>
          <t xml:space="preserve">Medium</t>
        </is>
      </c>
      <c r="H118" s="14" t="inlineStr">
        <is>
          <t xml:space="preserve">Beta</t>
        </is>
      </c>
      <c r="I118" s="14" t="inlineStr">
        <is>
          <t xml:space="preserve">Manager can edit the selected location; employees, zones and a draft week exist.</t>
        </is>
      </c>
      <c r="J118" s="14" t="inlineStr">
        <is>
          <t xml:space="preserve">1. Prepare the stated preconditions and sign in with the required role.
2. Navigate to Shift creation and editing.
3. Execute: Change a shift's zone.
4. Refresh or reopen the relevant page and inspect persisted data.
5. Verify UI feedback, permissions, notifications and audit records where applicable.</t>
        </is>
      </c>
      <c r="K118" s="14" t="inlineStr">
        <is>
          <t xml:space="preserve">Day, overnight, split and to-close shifts; 10–200 employees</t>
        </is>
      </c>
      <c r="L118" s="14" t="inlineStr">
        <is>
          <t xml:space="preserve">The shift moves to the correct zone and permissions/cost remain correct.</t>
        </is>
      </c>
      <c r="M118" s="14" t="inlineStr">
        <is>
          <t xml:space="preserve">Candidate</t>
        </is>
      </c>
      <c r="N118" s="14" t="inlineStr">
        <is>
          <t xml:space="preserve">Yes</t>
        </is>
      </c>
      <c r="O118" s="14" t="inlineStr">
        <is>
          <t xml:space="preserve">Active</t>
        </is>
      </c>
      <c r="P118" s="14"/>
    </row>
    <row r="119">
      <c r="A119" s="14" t="inlineStr">
        <is>
          <t xml:space="preserve">RR-0118</t>
        </is>
      </c>
      <c r="B119" s="14" t="inlineStr">
        <is>
          <t xml:space="preserve">Rota Builder</t>
        </is>
      </c>
      <c r="C119" s="14" t="inlineStr">
        <is>
          <t xml:space="preserve">Shift creation and editing</t>
        </is>
      </c>
      <c r="D119" s="14" t="inlineStr">
        <is>
          <t xml:space="preserve">Functional</t>
        </is>
      </c>
      <c r="E119" s="14" t="inlineStr">
        <is>
          <t xml:space="preserve">Change a shift's employee</t>
        </is>
      </c>
      <c r="F119" s="14" t="inlineStr">
        <is>
          <t xml:space="preserve">Critical</t>
        </is>
      </c>
      <c r="G119" s="14" t="inlineStr">
        <is>
          <t xml:space="preserve">Medium</t>
        </is>
      </c>
      <c r="H119" s="14" t="inlineStr">
        <is>
          <t xml:space="preserve">Beta</t>
        </is>
      </c>
      <c r="I119" s="14" t="inlineStr">
        <is>
          <t xml:space="preserve">Manager can edit the selected location; employees, zones and a draft week exist.</t>
        </is>
      </c>
      <c r="J119" s="14" t="inlineStr">
        <is>
          <t xml:space="preserve">1. Prepare the stated preconditions and sign in with the required role.
2. Navigate to Shift creation and editing.
3. Execute: Change a shift's employee.
4. Refresh or reopen the relevant page and inspect persisted data.
5. Verify UI feedback, permissions, notifications and audit records where applicable.</t>
        </is>
      </c>
      <c r="K119" s="14" t="inlineStr">
        <is>
          <t xml:space="preserve">Day, overnight, split and to-close shifts; 10–200 employees</t>
        </is>
      </c>
      <c r="L119" s="14" t="inlineStr">
        <is>
          <t xml:space="preserve">Assignment updates without leaving a duplicate old assignment.</t>
        </is>
      </c>
      <c r="M119" s="14" t="inlineStr">
        <is>
          <t xml:space="preserve">Candidate</t>
        </is>
      </c>
      <c r="N119" s="14" t="inlineStr">
        <is>
          <t xml:space="preserve">Yes</t>
        </is>
      </c>
      <c r="O119" s="14" t="inlineStr">
        <is>
          <t xml:space="preserve">Active</t>
        </is>
      </c>
      <c r="P119" s="14"/>
    </row>
    <row r="120">
      <c r="A120" s="14" t="inlineStr">
        <is>
          <t xml:space="preserve">RR-0119</t>
        </is>
      </c>
      <c r="B120" s="14" t="inlineStr">
        <is>
          <t xml:space="preserve">Rota Builder</t>
        </is>
      </c>
      <c r="C120" s="14" t="inlineStr">
        <is>
          <t xml:space="preserve">Shift creation and editing</t>
        </is>
      </c>
      <c r="D120" s="14" t="inlineStr">
        <is>
          <t xml:space="preserve">Functional</t>
        </is>
      </c>
      <c r="E120" s="14" t="inlineStr">
        <is>
          <t xml:space="preserve">Duplicate a shift to another day</t>
        </is>
      </c>
      <c r="F120" s="14" t="inlineStr">
        <is>
          <t xml:space="preserve">High</t>
        </is>
      </c>
      <c r="G120" s="14" t="inlineStr">
        <is>
          <t xml:space="preserve">Medium</t>
        </is>
      </c>
      <c r="H120" s="14" t="inlineStr">
        <is>
          <t xml:space="preserve">Beta</t>
        </is>
      </c>
      <c r="I120" s="14" t="inlineStr">
        <is>
          <t xml:space="preserve">Manager can edit the selected location; employees, zones and a draft week exist.</t>
        </is>
      </c>
      <c r="J120" s="14" t="inlineStr">
        <is>
          <t xml:space="preserve">1. Prepare the stated preconditions and sign in with the required role.
2. Navigate to Shift creation and editing.
3. Execute: Duplicate a shift to another day.
4. Refresh or reopen the relevant page and inspect persisted data.
5. Verify UI feedback, permissions, notifications and audit records where applicable.</t>
        </is>
      </c>
      <c r="K120" s="14" t="inlineStr">
        <is>
          <t xml:space="preserve">Day, overnight, split and to-close shifts; 10–200 employees</t>
        </is>
      </c>
      <c r="L120" s="14" t="inlineStr">
        <is>
          <t xml:space="preserve">A new independent shift is created with expected copied fields.</t>
        </is>
      </c>
      <c r="M120" s="14" t="inlineStr">
        <is>
          <t xml:space="preserve">Candidate</t>
        </is>
      </c>
      <c r="N120" s="14" t="inlineStr">
        <is>
          <t xml:space="preserve">Yes</t>
        </is>
      </c>
      <c r="O120" s="14" t="inlineStr">
        <is>
          <t xml:space="preserve">Active</t>
        </is>
      </c>
      <c r="P120" s="14"/>
    </row>
    <row r="121">
      <c r="A121" s="14" t="inlineStr">
        <is>
          <t xml:space="preserve">RR-0120</t>
        </is>
      </c>
      <c r="B121" s="14" t="inlineStr">
        <is>
          <t xml:space="preserve">Rota Builder</t>
        </is>
      </c>
      <c r="C121" s="14" t="inlineStr">
        <is>
          <t xml:space="preserve">Shift creation and editing</t>
        </is>
      </c>
      <c r="D121" s="14" t="inlineStr">
        <is>
          <t xml:space="preserve">Negative</t>
        </is>
      </c>
      <c r="E121" s="14" t="inlineStr">
        <is>
          <t xml:space="preserve">Duplicate a shift to the same employee and time</t>
        </is>
      </c>
      <c r="F121" s="14" t="inlineStr">
        <is>
          <t xml:space="preserve">High</t>
        </is>
      </c>
      <c r="G121" s="14" t="inlineStr">
        <is>
          <t xml:space="preserve">Medium</t>
        </is>
      </c>
      <c r="H121" s="14" t="inlineStr">
        <is>
          <t xml:space="preserve">Beta</t>
        </is>
      </c>
      <c r="I121" s="14" t="inlineStr">
        <is>
          <t xml:space="preserve">Manager can edit the selected location; employees, zones and a draft week exist.</t>
        </is>
      </c>
      <c r="J121" s="14" t="inlineStr">
        <is>
          <t xml:space="preserve">1. Prepare the stated preconditions and sign in with the required role.
2. Navigate to Shift creation and editing.
3. Execute: Duplicate a shift to the same employee and time.
4. Refresh or reopen the relevant page and inspect persisted data.
5. Verify UI feedback, permissions, notifications and audit records where applicable.</t>
        </is>
      </c>
      <c r="K121" s="14" t="inlineStr">
        <is>
          <t xml:space="preserve">Day, overnight, split and to-close shifts; 10–200 employees</t>
        </is>
      </c>
      <c r="L121" s="14" t="inlineStr">
        <is>
          <t xml:space="preserve">Conflict/duplicate policy is enforced clearly.</t>
        </is>
      </c>
      <c r="M121" s="14" t="inlineStr">
        <is>
          <t xml:space="preserve">Candidate</t>
        </is>
      </c>
      <c r="N121" s="14" t="inlineStr">
        <is>
          <t xml:space="preserve">Yes</t>
        </is>
      </c>
      <c r="O121" s="14" t="inlineStr">
        <is>
          <t xml:space="preserve">Active</t>
        </is>
      </c>
      <c r="P121" s="14"/>
    </row>
    <row r="122">
      <c r="A122" s="14" t="inlineStr">
        <is>
          <t xml:space="preserve">RR-0121</t>
        </is>
      </c>
      <c r="B122" s="14" t="inlineStr">
        <is>
          <t xml:space="preserve">Rota Builder</t>
        </is>
      </c>
      <c r="C122" s="14" t="inlineStr">
        <is>
          <t xml:space="preserve">Shift creation and editing</t>
        </is>
      </c>
      <c r="D122" s="14" t="inlineStr">
        <is>
          <t xml:space="preserve">Functional</t>
        </is>
      </c>
      <c r="E122" s="14" t="inlineStr">
        <is>
          <t xml:space="preserve">Delete a draft shift</t>
        </is>
      </c>
      <c r="F122" s="14" t="inlineStr">
        <is>
          <t xml:space="preserve">High</t>
        </is>
      </c>
      <c r="G122" s="14" t="inlineStr">
        <is>
          <t xml:space="preserve">Medium</t>
        </is>
      </c>
      <c r="H122" s="14" t="inlineStr">
        <is>
          <t xml:space="preserve">Beta</t>
        </is>
      </c>
      <c r="I122" s="14" t="inlineStr">
        <is>
          <t xml:space="preserve">Manager can edit the selected location; employees, zones and a draft week exist.</t>
        </is>
      </c>
      <c r="J122" s="14" t="inlineStr">
        <is>
          <t xml:space="preserve">1. Prepare the stated preconditions and sign in with the required role.
2. Navigate to Shift creation and editing.
3. Execute: Delete a draft shift.
4. Refresh or reopen the relevant page and inspect persisted data.
5. Verify UI feedback, permissions, notifications and audit records where applicable.</t>
        </is>
      </c>
      <c r="K122" s="14" t="inlineStr">
        <is>
          <t xml:space="preserve">Day, overnight, split and to-close shifts; 10–200 employees</t>
        </is>
      </c>
      <c r="L122" s="14" t="inlineStr">
        <is>
          <t xml:space="preserve">The shift is removed and totals update; deletion is undoable or confirmable according to policy.</t>
        </is>
      </c>
      <c r="M122" s="14" t="inlineStr">
        <is>
          <t xml:space="preserve">Candidate</t>
        </is>
      </c>
      <c r="N122" s="14" t="inlineStr">
        <is>
          <t xml:space="preserve">Yes</t>
        </is>
      </c>
      <c r="O122" s="14" t="inlineStr">
        <is>
          <t xml:space="preserve">Active</t>
        </is>
      </c>
      <c r="P122" s="14"/>
    </row>
    <row r="123">
      <c r="A123" s="14" t="inlineStr">
        <is>
          <t xml:space="preserve">RR-0122</t>
        </is>
      </c>
      <c r="B123" s="14" t="inlineStr">
        <is>
          <t xml:space="preserve">Rota Builder</t>
        </is>
      </c>
      <c r="C123" s="14" t="inlineStr">
        <is>
          <t xml:space="preserve">Shift creation and editing</t>
        </is>
      </c>
      <c r="D123" s="14" t="inlineStr">
        <is>
          <t xml:space="preserve">Functional</t>
        </is>
      </c>
      <c r="E123" s="14" t="inlineStr">
        <is>
          <t xml:space="preserve">Bulk-create shifts for multiple days</t>
        </is>
      </c>
      <c r="F123" s="14" t="inlineStr">
        <is>
          <t xml:space="preserve">High</t>
        </is>
      </c>
      <c r="G123" s="14" t="inlineStr">
        <is>
          <t xml:space="preserve">Medium</t>
        </is>
      </c>
      <c r="H123" s="14" t="inlineStr">
        <is>
          <t xml:space="preserve">Beta</t>
        </is>
      </c>
      <c r="I123" s="14" t="inlineStr">
        <is>
          <t xml:space="preserve">Manager can edit the selected location; employees, zones and a draft week exist.</t>
        </is>
      </c>
      <c r="J123" s="14" t="inlineStr">
        <is>
          <t xml:space="preserve">1. Prepare the stated preconditions and sign in with the required role.
2. Navigate to Shift creation and editing.
3. Execute: Bulk-create shifts for multiple days.
4. Refresh or reopen the relevant page and inspect persisted data.
5. Verify UI feedback, permissions, notifications and audit records where applicable.</t>
        </is>
      </c>
      <c r="K123" s="14" t="inlineStr">
        <is>
          <t xml:space="preserve">Day, overnight, split and to-close shifts; 10–200 employees</t>
        </is>
      </c>
      <c r="L123" s="14" t="inlineStr">
        <is>
          <t xml:space="preserve">All requested shifts are created once with correct dates and assignments.</t>
        </is>
      </c>
      <c r="M123" s="14" t="inlineStr">
        <is>
          <t xml:space="preserve">Candidate</t>
        </is>
      </c>
      <c r="N123" s="14" t="inlineStr">
        <is>
          <t xml:space="preserve">Yes</t>
        </is>
      </c>
      <c r="O123" s="14" t="inlineStr">
        <is>
          <t xml:space="preserve">Active</t>
        </is>
      </c>
      <c r="P123" s="14"/>
    </row>
    <row r="124">
      <c r="A124" s="14" t="inlineStr">
        <is>
          <t xml:space="preserve">RR-0123</t>
        </is>
      </c>
      <c r="B124" s="14" t="inlineStr">
        <is>
          <t xml:space="preserve">Rota Builder</t>
        </is>
      </c>
      <c r="C124" s="14" t="inlineStr">
        <is>
          <t xml:space="preserve">Shift creation and editing</t>
        </is>
      </c>
      <c r="D124" s="14" t="inlineStr">
        <is>
          <t xml:space="preserve">Functional</t>
        </is>
      </c>
      <c r="E124" s="14" t="inlineStr">
        <is>
          <t xml:space="preserve">Create a shift with no employee</t>
        </is>
      </c>
      <c r="F124" s="14" t="inlineStr">
        <is>
          <t xml:space="preserve">Medium</t>
        </is>
      </c>
      <c r="G124" s="14" t="inlineStr">
        <is>
          <t xml:space="preserve">Medium</t>
        </is>
      </c>
      <c r="H124" s="14" t="inlineStr">
        <is>
          <t xml:space="preserve">Beta</t>
        </is>
      </c>
      <c r="I124" s="14" t="inlineStr">
        <is>
          <t xml:space="preserve">Manager can edit the selected location; employees, zones and a draft week exist.</t>
        </is>
      </c>
      <c r="J124" s="14" t="inlineStr">
        <is>
          <t xml:space="preserve">1. Prepare the stated preconditions and sign in with the required role.
2. Navigate to Shift creation and editing.
3. Execute: Create a shift with no employee.
4. Refresh or reopen the relevant page and inspect persisted data.
5. Verify UI feedback, permissions, notifications and audit records where applicable.</t>
        </is>
      </c>
      <c r="K124" s="14" t="inlineStr">
        <is>
          <t xml:space="preserve">Day, overnight, split and to-close shifts; 10–200 employees</t>
        </is>
      </c>
      <c r="L124" s="14" t="inlineStr">
        <is>
          <t xml:space="preserve">Open/unassigned shift behaviour matches design and remains clearly visible.</t>
        </is>
      </c>
      <c r="M124" s="14" t="inlineStr">
        <is>
          <t xml:space="preserve">Candidate</t>
        </is>
      </c>
      <c r="N124" s="14" t="inlineStr">
        <is>
          <t xml:space="preserve">No</t>
        </is>
      </c>
      <c r="O124" s="14" t="inlineStr">
        <is>
          <t xml:space="preserve">Active</t>
        </is>
      </c>
      <c r="P124" s="14"/>
    </row>
    <row r="125">
      <c r="A125" s="14" t="inlineStr">
        <is>
          <t xml:space="preserve">RR-0124</t>
        </is>
      </c>
      <c r="B125" s="14" t="inlineStr">
        <is>
          <t xml:space="preserve">Rota Builder</t>
        </is>
      </c>
      <c r="C125" s="14" t="inlineStr">
        <is>
          <t xml:space="preserve">Shift creation and editing</t>
        </is>
      </c>
      <c r="D125" s="14" t="inlineStr">
        <is>
          <t xml:space="preserve">Validation</t>
        </is>
      </c>
      <c r="E125" s="14" t="inlineStr">
        <is>
          <t xml:space="preserve">Create a shift with a very long note</t>
        </is>
      </c>
      <c r="F125" s="14" t="inlineStr">
        <is>
          <t xml:space="preserve">Low</t>
        </is>
      </c>
      <c r="G125" s="14" t="inlineStr">
        <is>
          <t xml:space="preserve">Medium</t>
        </is>
      </c>
      <c r="H125" s="14" t="inlineStr">
        <is>
          <t xml:space="preserve">Beta</t>
        </is>
      </c>
      <c r="I125" s="14" t="inlineStr">
        <is>
          <t xml:space="preserve">Manager can edit the selected location; employees, zones and a draft week exist.</t>
        </is>
      </c>
      <c r="J125" s="14" t="inlineStr">
        <is>
          <t xml:space="preserve">1. Prepare the stated preconditions and sign in with the required role.
2. Navigate to Shift creation and editing.
3. Execute: Create a shift with a very long note.
4. Refresh or reopen the relevant page and inspect persisted data.
5. Verify UI feedback, permissions, notifications and audit records where applicable.</t>
        </is>
      </c>
      <c r="K125" s="14" t="inlineStr">
        <is>
          <t xml:space="preserve">Day, overnight, split and to-close shifts; 10–200 employees</t>
        </is>
      </c>
      <c r="L125" s="14" t="inlineStr">
        <is>
          <t xml:space="preserve">Length limits and safe wrapping are enforced without breaking layout.</t>
        </is>
      </c>
      <c r="M125" s="14" t="inlineStr">
        <is>
          <t xml:space="preserve">Candidate</t>
        </is>
      </c>
      <c r="N125" s="14" t="inlineStr">
        <is>
          <t xml:space="preserve">No</t>
        </is>
      </c>
      <c r="O125" s="14" t="inlineStr">
        <is>
          <t xml:space="preserve">Active</t>
        </is>
      </c>
      <c r="P125" s="14"/>
    </row>
    <row r="126">
      <c r="A126" s="14" t="inlineStr">
        <is>
          <t xml:space="preserve">RR-0125</t>
        </is>
      </c>
      <c r="B126" s="14" t="inlineStr">
        <is>
          <t xml:space="preserve">Rota Builder</t>
        </is>
      </c>
      <c r="C126" s="14" t="inlineStr">
        <is>
          <t xml:space="preserve">Drag, drop and scheduling rules</t>
        </is>
      </c>
      <c r="D126" s="14" t="inlineStr">
        <is>
          <t xml:space="preserve">Functional</t>
        </is>
      </c>
      <c r="E126" s="14" t="inlineStr">
        <is>
          <t xml:space="preserve">Drag an employee into an empty shift</t>
        </is>
      </c>
      <c r="F126" s="14" t="inlineStr">
        <is>
          <t xml:space="preserve">Critical</t>
        </is>
      </c>
      <c r="G126" s="14" t="inlineStr">
        <is>
          <t xml:space="preserve">Medium</t>
        </is>
      </c>
      <c r="H126" s="14" t="inlineStr">
        <is>
          <t xml:space="preserve">Beta</t>
        </is>
      </c>
      <c r="I126" s="14" t="inlineStr">
        <is>
          <t xml:space="preserve">Manager can edit the selected location; employees, zones and a draft week exist.</t>
        </is>
      </c>
      <c r="J126" s="14" t="inlineStr">
        <is>
          <t xml:space="preserve">1. Prepare the stated preconditions and sign in with the required role.
2. Navigate to Drag, drop and scheduling rules.
3. Execute: Drag an employee into an empty shift.
4. Refresh or reopen the relevant page and inspect persisted data.
5. Verify UI feedback, permissions, notifications and audit records where applicable.</t>
        </is>
      </c>
      <c r="K126" s="14" t="inlineStr">
        <is>
          <t xml:space="preserve">Day, overnight, split and to-close shifts; 10–200 employees</t>
        </is>
      </c>
      <c r="L126" s="14" t="inlineStr">
        <is>
          <t xml:space="preserve">The employee is assigned and the drop target gives clear feedback.</t>
        </is>
      </c>
      <c r="M126" s="14" t="inlineStr">
        <is>
          <t xml:space="preserve">Candidate</t>
        </is>
      </c>
      <c r="N126" s="14" t="inlineStr">
        <is>
          <t xml:space="preserve">Yes</t>
        </is>
      </c>
      <c r="O126" s="14" t="inlineStr">
        <is>
          <t xml:space="preserve">Active</t>
        </is>
      </c>
      <c r="P126" s="14"/>
    </row>
    <row r="127">
      <c r="A127" s="14" t="inlineStr">
        <is>
          <t xml:space="preserve">RR-0126</t>
        </is>
      </c>
      <c r="B127" s="14" t="inlineStr">
        <is>
          <t xml:space="preserve">Rota Builder</t>
        </is>
      </c>
      <c r="C127" s="14" t="inlineStr">
        <is>
          <t xml:space="preserve">Drag, drop and scheduling rules</t>
        </is>
      </c>
      <c r="D127" s="14" t="inlineStr">
        <is>
          <t xml:space="preserve">Functional</t>
        </is>
      </c>
      <c r="E127" s="14" t="inlineStr">
        <is>
          <t xml:space="preserve">Drag an employee between shifts</t>
        </is>
      </c>
      <c r="F127" s="14" t="inlineStr">
        <is>
          <t xml:space="preserve">Critical</t>
        </is>
      </c>
      <c r="G127" s="14" t="inlineStr">
        <is>
          <t xml:space="preserve">Medium</t>
        </is>
      </c>
      <c r="H127" s="14" t="inlineStr">
        <is>
          <t xml:space="preserve">Beta</t>
        </is>
      </c>
      <c r="I127" s="14" t="inlineStr">
        <is>
          <t xml:space="preserve">Manager can edit the selected location; employees, zones and a draft week exist.</t>
        </is>
      </c>
      <c r="J127" s="14" t="inlineStr">
        <is>
          <t xml:space="preserve">1. Prepare the stated preconditions and sign in with the required role.
2. Navigate to Drag, drop and scheduling rules.
3. Execute: Drag an employee between shifts.
4. Refresh or reopen the relevant page and inspect persisted data.
5. Verify UI feedback, permissions, notifications and audit records where applicable.</t>
        </is>
      </c>
      <c r="K127" s="14" t="inlineStr">
        <is>
          <t xml:space="preserve">Day, overnight, split and to-close shifts; 10–200 employees</t>
        </is>
      </c>
      <c r="L127" s="14" t="inlineStr">
        <is>
          <t xml:space="preserve">Assignment moves once and both source/destination totals update.</t>
        </is>
      </c>
      <c r="M127" s="14" t="inlineStr">
        <is>
          <t xml:space="preserve">Candidate</t>
        </is>
      </c>
      <c r="N127" s="14" t="inlineStr">
        <is>
          <t xml:space="preserve">Yes</t>
        </is>
      </c>
      <c r="O127" s="14" t="inlineStr">
        <is>
          <t xml:space="preserve">Active</t>
        </is>
      </c>
      <c r="P127" s="14"/>
    </row>
    <row r="128">
      <c r="A128" s="14" t="inlineStr">
        <is>
          <t xml:space="preserve">RR-0127</t>
        </is>
      </c>
      <c r="B128" s="14" t="inlineStr">
        <is>
          <t xml:space="preserve">Rota Builder</t>
        </is>
      </c>
      <c r="C128" s="14" t="inlineStr">
        <is>
          <t xml:space="preserve">Drag, drop and scheduling rules</t>
        </is>
      </c>
      <c r="D128" s="14" t="inlineStr">
        <is>
          <t xml:space="preserve">Functional</t>
        </is>
      </c>
      <c r="E128" s="14" t="inlineStr">
        <is>
          <t xml:space="preserve">Drag an employee into overlapping shifts</t>
        </is>
      </c>
      <c r="F128" s="14" t="inlineStr">
        <is>
          <t xml:space="preserve">Critical</t>
        </is>
      </c>
      <c r="G128" s="14" t="inlineStr">
        <is>
          <t xml:space="preserve">Medium</t>
        </is>
      </c>
      <c r="H128" s="14" t="inlineStr">
        <is>
          <t xml:space="preserve">Beta</t>
        </is>
      </c>
      <c r="I128" s="14" t="inlineStr">
        <is>
          <t xml:space="preserve">Manager can edit the selected location; employees, zones and a draft week exist.</t>
        </is>
      </c>
      <c r="J128" s="14" t="inlineStr">
        <is>
          <t xml:space="preserve">1. Prepare the stated preconditions and sign in with the required role.
2. Navigate to Drag, drop and scheduling rules.
3. Execute: Drag an employee into overlapping shifts.
4. Refresh or reopen the relevant page and inspect persisted data.
5. Verify UI feedback, permissions, notifications and audit records where applicable.</t>
        </is>
      </c>
      <c r="K128" s="14" t="inlineStr">
        <is>
          <t xml:space="preserve">Day, overnight, split and to-close shifts; 10–200 employees</t>
        </is>
      </c>
      <c r="L128" s="14" t="inlineStr">
        <is>
          <t xml:space="preserve">A conflict warning blocks or requires authorised override.</t>
        </is>
      </c>
      <c r="M128" s="14" t="inlineStr">
        <is>
          <t xml:space="preserve">Candidate</t>
        </is>
      </c>
      <c r="N128" s="14" t="inlineStr">
        <is>
          <t xml:space="preserve">Yes</t>
        </is>
      </c>
      <c r="O128" s="14" t="inlineStr">
        <is>
          <t xml:space="preserve">Active</t>
        </is>
      </c>
      <c r="P128" s="14"/>
    </row>
    <row r="129">
      <c r="A129" s="14" t="inlineStr">
        <is>
          <t xml:space="preserve">RR-0129</t>
        </is>
      </c>
      <c r="B129" s="14" t="inlineStr">
        <is>
          <t xml:space="preserve">Rota Builder</t>
        </is>
      </c>
      <c r="C129" s="14" t="inlineStr">
        <is>
          <t xml:space="preserve">Drag, drop and scheduling rules</t>
        </is>
      </c>
      <c r="D129" s="14" t="inlineStr">
        <is>
          <t xml:space="preserve">Functional</t>
        </is>
      </c>
      <c r="E129" s="14" t="inlineStr">
        <is>
          <t xml:space="preserve">Assign an employee outside their availability</t>
        </is>
      </c>
      <c r="F129" s="14" t="inlineStr">
        <is>
          <t xml:space="preserve">Critical</t>
        </is>
      </c>
      <c r="G129" s="14" t="inlineStr">
        <is>
          <t xml:space="preserve">Medium</t>
        </is>
      </c>
      <c r="H129" s="14" t="inlineStr">
        <is>
          <t xml:space="preserve">Beta</t>
        </is>
      </c>
      <c r="I129" s="14" t="inlineStr">
        <is>
          <t xml:space="preserve">Manager can edit the selected location; employees, zones and a draft week exist.</t>
        </is>
      </c>
      <c r="J129" s="14" t="inlineStr">
        <is>
          <t xml:space="preserve">1. Prepare the stated preconditions and sign in with the required role.
2. Navigate to Drag, drop and scheduling rules.
3. Execute: Assign an employee outside their availability.
4. Refresh or reopen the relevant page and inspect persisted data.
5. Verify UI feedback, permissions, notifications and audit records where applicable.</t>
        </is>
      </c>
      <c r="K129" s="14" t="inlineStr">
        <is>
          <t xml:space="preserve">Day, overnight, split and to-close shifts; 10–200 employees</t>
        </is>
      </c>
      <c r="L129" s="14" t="inlineStr">
        <is>
          <t xml:space="preserve">Conflict warning displays with the relevant restriction.</t>
        </is>
      </c>
      <c r="M129" s="14" t="inlineStr">
        <is>
          <t xml:space="preserve">Candidate</t>
        </is>
      </c>
      <c r="N129" s="14" t="inlineStr">
        <is>
          <t xml:space="preserve">Yes</t>
        </is>
      </c>
      <c r="O129" s="14" t="inlineStr">
        <is>
          <t xml:space="preserve">Active</t>
        </is>
      </c>
      <c r="P129" s="14"/>
    </row>
    <row r="130">
      <c r="A130" s="14" t="inlineStr">
        <is>
          <t xml:space="preserve">RR-0130</t>
        </is>
      </c>
      <c r="B130" s="14" t="inlineStr">
        <is>
          <t xml:space="preserve">Rota Builder</t>
        </is>
      </c>
      <c r="C130" s="14" t="inlineStr">
        <is>
          <t xml:space="preserve">Drag, drop and scheduling rules</t>
        </is>
      </c>
      <c r="D130" s="14" t="inlineStr">
        <is>
          <t xml:space="preserve">Functional</t>
        </is>
      </c>
      <c r="E130" s="14" t="inlineStr">
        <is>
          <t xml:space="preserve">Assign an inactive employee</t>
        </is>
      </c>
      <c r="F130" s="14" t="inlineStr">
        <is>
          <t xml:space="preserve">Critical</t>
        </is>
      </c>
      <c r="G130" s="14" t="inlineStr">
        <is>
          <t xml:space="preserve">Medium</t>
        </is>
      </c>
      <c r="H130" s="14" t="inlineStr">
        <is>
          <t xml:space="preserve">Beta</t>
        </is>
      </c>
      <c r="I130" s="14" t="inlineStr">
        <is>
          <t xml:space="preserve">Manager can edit the selected location; employees, zones and a draft week exist.</t>
        </is>
      </c>
      <c r="J130" s="14" t="inlineStr">
        <is>
          <t xml:space="preserve">1. Prepare the stated preconditions and sign in with the required role.
2. Navigate to Drag, drop and scheduling rules.
3. Execute: Assign an inactive employee.
4. Refresh or reopen the relevant page and inspect persisted data.
5. Verify UI feedback, permissions, notifications and audit records where applicable.</t>
        </is>
      </c>
      <c r="K130" s="14" t="inlineStr">
        <is>
          <t xml:space="preserve">Day, overnight, split and to-close shifts; 10–200 employees</t>
        </is>
      </c>
      <c r="L130" s="14" t="inlineStr">
        <is>
          <t xml:space="preserve">The employee cannot be scheduled.</t>
        </is>
      </c>
      <c r="M130" s="14" t="inlineStr">
        <is>
          <t xml:space="preserve">Candidate</t>
        </is>
      </c>
      <c r="N130" s="14" t="inlineStr">
        <is>
          <t xml:space="preserve">Yes</t>
        </is>
      </c>
      <c r="O130" s="14" t="inlineStr">
        <is>
          <t xml:space="preserve">Active</t>
        </is>
      </c>
      <c r="P130" s="14"/>
    </row>
    <row r="131">
      <c r="A131" s="14" t="inlineStr">
        <is>
          <t xml:space="preserve">RR-0131</t>
        </is>
      </c>
      <c r="B131" s="14" t="inlineStr">
        <is>
          <t xml:space="preserve">Rota Builder</t>
        </is>
      </c>
      <c r="C131" s="14" t="inlineStr">
        <is>
          <t xml:space="preserve">Drag, drop and scheduling rules</t>
        </is>
      </c>
      <c r="D131" s="14" t="inlineStr">
        <is>
          <t xml:space="preserve">Security</t>
        </is>
      </c>
      <c r="E131" s="14" t="inlineStr">
        <is>
          <t xml:space="preserve">Assign an employee active only at another location</t>
        </is>
      </c>
      <c r="F131" s="14" t="inlineStr">
        <is>
          <t xml:space="preserve">Critical</t>
        </is>
      </c>
      <c r="G131" s="14" t="inlineStr">
        <is>
          <t xml:space="preserve">Medium</t>
        </is>
      </c>
      <c r="H131" s="14" t="inlineStr">
        <is>
          <t xml:space="preserve">Beta</t>
        </is>
      </c>
      <c r="I131" s="14" t="inlineStr">
        <is>
          <t xml:space="preserve">Manager can edit the selected location; employees, zones and a draft week exist.</t>
        </is>
      </c>
      <c r="J131" s="14" t="inlineStr">
        <is>
          <t xml:space="preserve">1. Prepare the stated preconditions and sign in with the required role.
2. Navigate to Drag, drop and scheduling rules.
3. Execute: Assign an employee active only at another location.
4. Refresh or reopen the relevant page and inspect persisted data.
5. Verify UI feedback, permissions, notifications and audit records where applicable.</t>
        </is>
      </c>
      <c r="K131" s="14" t="inlineStr">
        <is>
          <t xml:space="preserve">Day, overnight, split and to-close shifts; 10–200 employees</t>
        </is>
      </c>
      <c r="L131" s="14" t="inlineStr">
        <is>
          <t xml:space="preserve">Cross-location policy is enforced and unauthorised assignment is rejected.</t>
        </is>
      </c>
      <c r="M131" s="14" t="inlineStr">
        <is>
          <t xml:space="preserve">Candidate</t>
        </is>
      </c>
      <c r="N131" s="14" t="inlineStr">
        <is>
          <t xml:space="preserve">Yes</t>
        </is>
      </c>
      <c r="O131" s="14" t="inlineStr">
        <is>
          <t xml:space="preserve">Active</t>
        </is>
      </c>
      <c r="P131" s="14"/>
    </row>
    <row r="132">
      <c r="A132" s="14" t="inlineStr">
        <is>
          <t xml:space="preserve">RR-0132</t>
        </is>
      </c>
      <c r="B132" s="14" t="inlineStr">
        <is>
          <t xml:space="preserve">Rota Builder</t>
        </is>
      </c>
      <c r="C132" s="14" t="inlineStr">
        <is>
          <t xml:space="preserve">Drag, drop and scheduling rules</t>
        </is>
      </c>
      <c r="D132" s="14" t="inlineStr">
        <is>
          <t xml:space="preserve">Functional</t>
        </is>
      </c>
      <c r="E132" s="14" t="inlineStr">
        <is>
          <t xml:space="preserve">Schedule an employee for excessive weekly hours</t>
        </is>
      </c>
      <c r="F132" s="14" t="inlineStr">
        <is>
          <t xml:space="preserve">High</t>
        </is>
      </c>
      <c r="G132" s="14" t="inlineStr">
        <is>
          <t xml:space="preserve">Medium</t>
        </is>
      </c>
      <c r="H132" s="14" t="inlineStr">
        <is>
          <t xml:space="preserve">Beta</t>
        </is>
      </c>
      <c r="I132" s="14" t="inlineStr">
        <is>
          <t xml:space="preserve">Manager can edit the selected location; employees, zones and a draft week exist.</t>
        </is>
      </c>
      <c r="J132" s="14" t="inlineStr">
        <is>
          <t xml:space="preserve">1. Prepare the stated preconditions and sign in with the required role.
2. Navigate to Drag, drop and scheduling rules.
3. Execute: Schedule an employee for excessive weekly hours.
4. Refresh or reopen the relevant page and inspect persisted data.
5. Verify UI feedback, permissions, notifications and audit records where applicable.</t>
        </is>
      </c>
      <c r="K132" s="14" t="inlineStr">
        <is>
          <t xml:space="preserve">Day, overnight, split and to-close shifts; 10–200 employees</t>
        </is>
      </c>
      <c r="L132" s="14" t="inlineStr">
        <is>
          <t xml:space="preserve">Configured working-time/overtime warning appears without silently preventing legitimate authorised use.</t>
        </is>
      </c>
      <c r="M132" s="14" t="inlineStr">
        <is>
          <t xml:space="preserve">Candidate</t>
        </is>
      </c>
      <c r="N132" s="14" t="inlineStr">
        <is>
          <t xml:space="preserve">Yes</t>
        </is>
      </c>
      <c r="O132" s="14" t="inlineStr">
        <is>
          <t xml:space="preserve">Active</t>
        </is>
      </c>
      <c r="P132" s="14"/>
    </row>
    <row r="133">
      <c r="A133" s="14" t="inlineStr">
        <is>
          <t xml:space="preserve">RR-0133</t>
        </is>
      </c>
      <c r="B133" s="14" t="inlineStr">
        <is>
          <t xml:space="preserve">Rota Builder</t>
        </is>
      </c>
      <c r="C133" s="14" t="inlineStr">
        <is>
          <t xml:space="preserve">Drag, drop and scheduling rules</t>
        </is>
      </c>
      <c r="D133" s="14" t="inlineStr">
        <is>
          <t xml:space="preserve">Functional</t>
        </is>
      </c>
      <c r="E133" s="14" t="inlineStr">
        <is>
          <t xml:space="preserve">Schedule insufficient rest between overnight and next-day shifts</t>
        </is>
      </c>
      <c r="F133" s="14" t="inlineStr">
        <is>
          <t xml:space="preserve">High</t>
        </is>
      </c>
      <c r="G133" s="14" t="inlineStr">
        <is>
          <t xml:space="preserve">Medium</t>
        </is>
      </c>
      <c r="H133" s="14" t="inlineStr">
        <is>
          <t xml:space="preserve">Beta</t>
        </is>
      </c>
      <c r="I133" s="14" t="inlineStr">
        <is>
          <t xml:space="preserve">Manager can edit the selected location; employees, zones and a draft week exist.</t>
        </is>
      </c>
      <c r="J133" s="14" t="inlineStr">
        <is>
          <t xml:space="preserve">1. Prepare the stated preconditions and sign in with the required role.
2. Navigate to Drag, drop and scheduling rules.
3. Execute: Schedule insufficient rest between overnight and next-day shifts.
4. Refresh or reopen the relevant page and inspect persisted data.
5. Verify UI feedback, permissions, notifications and audit records where applicable.</t>
        </is>
      </c>
      <c r="K133" s="14" t="inlineStr">
        <is>
          <t xml:space="preserve">Day, overnight, split and to-close shifts; 10–200 employees</t>
        </is>
      </c>
      <c r="L133" s="14" t="inlineStr">
        <is>
          <t xml:space="preserve">Rest-period warning is calculated across days.</t>
        </is>
      </c>
      <c r="M133" s="14" t="inlineStr">
        <is>
          <t xml:space="preserve">Candidate</t>
        </is>
      </c>
      <c r="N133" s="14" t="inlineStr">
        <is>
          <t xml:space="preserve">Yes</t>
        </is>
      </c>
      <c r="O133" s="14" t="inlineStr">
        <is>
          <t xml:space="preserve">Active</t>
        </is>
      </c>
      <c r="P133" s="14"/>
    </row>
    <row r="134">
      <c r="A134" s="14" t="inlineStr">
        <is>
          <t xml:space="preserve">RR-0134</t>
        </is>
      </c>
      <c r="B134" s="14" t="inlineStr">
        <is>
          <t xml:space="preserve">Rota Builder</t>
        </is>
      </c>
      <c r="C134" s="14" t="inlineStr">
        <is>
          <t xml:space="preserve">Drag, drop and scheduling rules</t>
        </is>
      </c>
      <c r="D134" s="14" t="inlineStr">
        <is>
          <t xml:space="preserve">Compatibility</t>
        </is>
      </c>
      <c r="E134" s="14" t="inlineStr">
        <is>
          <t xml:space="preserve">Drag quickly across horizontally scrolled mobile days</t>
        </is>
      </c>
      <c r="F134" s="14" t="inlineStr">
        <is>
          <t xml:space="preserve">High</t>
        </is>
      </c>
      <c r="G134" s="14" t="inlineStr">
        <is>
          <t xml:space="preserve">Medium</t>
        </is>
      </c>
      <c r="H134" s="14" t="inlineStr">
        <is>
          <t xml:space="preserve">Beta</t>
        </is>
      </c>
      <c r="I134" s="14" t="inlineStr">
        <is>
          <t xml:space="preserve">Manager can edit the selected location; employees, zones and a draft week exist.</t>
        </is>
      </c>
      <c r="J134" s="14" t="inlineStr">
        <is>
          <t xml:space="preserve">1. Prepare the stated preconditions and sign in with the required role.
2. Navigate to Drag, drop and scheduling rules.
3. Execute: Drag quickly across horizontally scrolled mobile days.
4. Refresh or reopen the relevant page and inspect persisted data.
5. Verify UI feedback, permissions, notifications and audit records where applicable.</t>
        </is>
      </c>
      <c r="K134" s="14" t="inlineStr">
        <is>
          <t xml:space="preserve">Day, overnight, split and to-close shifts; 10–200 employees</t>
        </is>
      </c>
      <c r="L134" s="14" t="inlineStr">
        <is>
          <t xml:space="preserve">The intended day and shift receive the employee; no accidental assignment occurs.</t>
        </is>
      </c>
      <c r="M134" s="14" t="inlineStr">
        <is>
          <t xml:space="preserve">Candidate</t>
        </is>
      </c>
      <c r="N134" s="14" t="inlineStr">
        <is>
          <t xml:space="preserve">Yes</t>
        </is>
      </c>
      <c r="O134" s="14" t="inlineStr">
        <is>
          <t xml:space="preserve">Active</t>
        </is>
      </c>
      <c r="P134" s="14"/>
    </row>
    <row r="135">
      <c r="A135" s="14" t="inlineStr">
        <is>
          <t xml:space="preserve">RR-0135</t>
        </is>
      </c>
      <c r="B135" s="14" t="inlineStr">
        <is>
          <t xml:space="preserve">Rota Builder</t>
        </is>
      </c>
      <c r="C135" s="14" t="inlineStr">
        <is>
          <t xml:space="preserve">Drag, drop and scheduling rules</t>
        </is>
      </c>
      <c r="D135" s="14" t="inlineStr">
        <is>
          <t xml:space="preserve">Accessibility</t>
        </is>
      </c>
      <c r="E135" s="14" t="inlineStr">
        <is>
          <t xml:space="preserve">Use keyboard controls to assign or move a shift</t>
        </is>
      </c>
      <c r="F135" s="14" t="inlineStr">
        <is>
          <t xml:space="preserve">High</t>
        </is>
      </c>
      <c r="G135" s="14" t="inlineStr">
        <is>
          <t xml:space="preserve">Medium</t>
        </is>
      </c>
      <c r="H135" s="14" t="inlineStr">
        <is>
          <t xml:space="preserve">Beta</t>
        </is>
      </c>
      <c r="I135" s="14" t="inlineStr">
        <is>
          <t xml:space="preserve">Manager can edit the selected location; employees, zones and a draft week exist.</t>
        </is>
      </c>
      <c r="J135" s="14" t="inlineStr">
        <is>
          <t xml:space="preserve">1. Prepare the stated preconditions and sign in with the required role.
2. Navigate to Drag, drop and scheduling rules.
3. Execute: Use keyboard controls to assign or move a shift.
4. Refresh or reopen the relevant page and inspect persisted data.
5. Verify UI feedback, permissions, notifications and audit records where applicable.</t>
        </is>
      </c>
      <c r="K135" s="14" t="inlineStr">
        <is>
          <t xml:space="preserve">Day, overnight, split and to-close shifts; 10–200 employees</t>
        </is>
      </c>
      <c r="L135" s="14" t="inlineStr">
        <is>
          <t xml:space="preserve">A keyboard-accessible alternative exists and announces the result.</t>
        </is>
      </c>
      <c r="M135" s="14" t="inlineStr">
        <is>
          <t xml:space="preserve">Candidate</t>
        </is>
      </c>
      <c r="N135" s="14" t="inlineStr">
        <is>
          <t xml:space="preserve">Yes</t>
        </is>
      </c>
      <c r="O135" s="14" t="inlineStr">
        <is>
          <t xml:space="preserve">Active</t>
        </is>
      </c>
      <c r="P135" s="14"/>
    </row>
    <row r="136">
      <c r="A136" s="14" t="inlineStr">
        <is>
          <t xml:space="preserve">RR-0136</t>
        </is>
      </c>
      <c r="B136" s="14" t="inlineStr">
        <is>
          <t xml:space="preserve">Rota Builder</t>
        </is>
      </c>
      <c r="C136" s="14" t="inlineStr">
        <is>
          <t xml:space="preserve">Views, totals and tools</t>
        </is>
      </c>
      <c r="D136" s="14" t="inlineStr">
        <is>
          <t xml:space="preserve">Compatibility</t>
        </is>
      </c>
      <c r="E136" s="14" t="inlineStr">
        <is>
          <t xml:space="preserve">Collapse and expand role accordion groups on mobile</t>
        </is>
      </c>
      <c r="F136" s="14" t="inlineStr">
        <is>
          <t xml:space="preserve">High</t>
        </is>
      </c>
      <c r="G136" s="14" t="inlineStr">
        <is>
          <t xml:space="preserve">Medium</t>
        </is>
      </c>
      <c r="H136" s="14" t="inlineStr">
        <is>
          <t xml:space="preserve">Beta</t>
        </is>
      </c>
      <c r="I136" s="14" t="inlineStr">
        <is>
          <t xml:space="preserve">Manager can edit the selected location; employees, zones and a draft week exist.</t>
        </is>
      </c>
      <c r="J136" s="14" t="inlineStr">
        <is>
          <t xml:space="preserve">1. Prepare the stated preconditions and sign in with the required role.
2. Navigate to Views, totals and tools.
3. Execute: Collapse and expand role accordion groups on mobile.
4. Refresh or reopen the relevant page and inspect persisted data.
5. Verify UI feedback, permissions, notifications and audit records where applicable.</t>
        </is>
      </c>
      <c r="K136" s="14" t="inlineStr">
        <is>
          <t xml:space="preserve">Day, overnight, split and to-close shifts; 10–200 employees</t>
        </is>
      </c>
      <c r="L136" s="14" t="inlineStr">
        <is>
          <t xml:space="preserve">State changes smoothly and employee rows remain aligned with the day column.</t>
        </is>
      </c>
      <c r="M136" s="14" t="inlineStr">
        <is>
          <t xml:space="preserve">Candidate</t>
        </is>
      </c>
      <c r="N136" s="14" t="inlineStr">
        <is>
          <t xml:space="preserve">Yes</t>
        </is>
      </c>
      <c r="O136" s="14" t="inlineStr">
        <is>
          <t xml:space="preserve">Active</t>
        </is>
      </c>
      <c r="P136" s="14"/>
    </row>
    <row r="137">
      <c r="A137" s="14" t="inlineStr">
        <is>
          <t xml:space="preserve">RR-0137</t>
        </is>
      </c>
      <c r="B137" s="14" t="inlineStr">
        <is>
          <t xml:space="preserve">Rota Builder</t>
        </is>
      </c>
      <c r="C137" s="14" t="inlineStr">
        <is>
          <t xml:space="preserve">Views, totals and tools</t>
        </is>
      </c>
      <c r="D137" s="14" t="inlineStr">
        <is>
          <t xml:space="preserve">Compatibility</t>
        </is>
      </c>
      <c r="E137" s="14" t="inlineStr">
        <is>
          <t xml:space="preserve">Horizontally scroll the week while employee list stays fixed</t>
        </is>
      </c>
      <c r="F137" s="14" t="inlineStr">
        <is>
          <t xml:space="preserve">Critical</t>
        </is>
      </c>
      <c r="G137" s="14" t="inlineStr">
        <is>
          <t xml:space="preserve">Medium</t>
        </is>
      </c>
      <c r="H137" s="14" t="inlineStr">
        <is>
          <t xml:space="preserve">Beta</t>
        </is>
      </c>
      <c r="I137" s="14" t="inlineStr">
        <is>
          <t xml:space="preserve">Manager can edit the selected location; employees, zones and a draft week exist.</t>
        </is>
      </c>
      <c r="J137" s="14" t="inlineStr">
        <is>
          <t xml:space="preserve">1. Prepare the stated preconditions and sign in with the required role.
2. Navigate to Views, totals and tools.
3. Execute: Horizontally scroll the week while employee list stays fixed.
4. Refresh or reopen the relevant page and inspect persisted data.
5. Verify UI feedback, permissions, notifications and audit records where applicable.</t>
        </is>
      </c>
      <c r="K137" s="14" t="inlineStr">
        <is>
          <t xml:space="preserve">Day, overnight, split and to-close shifts; 10–200 employees</t>
        </is>
      </c>
      <c r="L137" s="14" t="inlineStr">
        <is>
          <t xml:space="preserve">Day columns scroll without losing employee context or touch control.</t>
        </is>
      </c>
      <c r="M137" s="14" t="inlineStr">
        <is>
          <t xml:space="preserve">Candidate</t>
        </is>
      </c>
      <c r="N137" s="14" t="inlineStr">
        <is>
          <t xml:space="preserve">Yes</t>
        </is>
      </c>
      <c r="O137" s="14" t="inlineStr">
        <is>
          <t xml:space="preserve">Active</t>
        </is>
      </c>
      <c r="P137" s="14"/>
    </row>
    <row r="138">
      <c r="A138" s="14" t="inlineStr">
        <is>
          <t xml:space="preserve">RR-0138</t>
        </is>
      </c>
      <c r="B138" s="14" t="inlineStr">
        <is>
          <t xml:space="preserve">Rota Builder</t>
        </is>
      </c>
      <c r="C138" s="14" t="inlineStr">
        <is>
          <t xml:space="preserve">Views, totals and tools</t>
        </is>
      </c>
      <c r="D138" s="14" t="inlineStr">
        <is>
          <t xml:space="preserve">Functional</t>
        </is>
      </c>
      <c r="E138" s="14" t="inlineStr">
        <is>
          <t xml:space="preserve">Switch zone selection from the toolbar</t>
        </is>
      </c>
      <c r="F138" s="14" t="inlineStr">
        <is>
          <t xml:space="preserve">High</t>
        </is>
      </c>
      <c r="G138" s="14" t="inlineStr">
        <is>
          <t xml:space="preserve">Medium</t>
        </is>
      </c>
      <c r="H138" s="14" t="inlineStr">
        <is>
          <t xml:space="preserve">Beta</t>
        </is>
      </c>
      <c r="I138" s="14" t="inlineStr">
        <is>
          <t xml:space="preserve">Manager can edit the selected location; employees, zones and a draft week exist.</t>
        </is>
      </c>
      <c r="J138" s="14" t="inlineStr">
        <is>
          <t xml:space="preserve">1. Prepare the stated preconditions and sign in with the required role.
2. Navigate to Views, totals and tools.
3. Execute: Switch zone selection from the toolbar.
4. Refresh or reopen the relevant page and inspect persisted data.
5. Verify UI feedback, permissions, notifications and audit records where applicable.</t>
        </is>
      </c>
      <c r="K138" s="14" t="inlineStr">
        <is>
          <t xml:space="preserve">Day, overnight, split and to-close shifts; 10–200 employees</t>
        </is>
      </c>
      <c r="L138" s="14" t="inlineStr">
        <is>
          <t xml:space="preserve">Visible employees, shifts and totals reflect selected zones.</t>
        </is>
      </c>
      <c r="M138" s="14" t="inlineStr">
        <is>
          <t xml:space="preserve">Candidate</t>
        </is>
      </c>
      <c r="N138" s="14" t="inlineStr">
        <is>
          <t xml:space="preserve">Yes</t>
        </is>
      </c>
      <c r="O138" s="14" t="inlineStr">
        <is>
          <t xml:space="preserve">Active</t>
        </is>
      </c>
      <c r="P138" s="14"/>
    </row>
    <row r="139">
      <c r="A139" s="14" t="inlineStr">
        <is>
          <t xml:space="preserve">RR-0139</t>
        </is>
      </c>
      <c r="B139" s="14" t="inlineStr">
        <is>
          <t xml:space="preserve">Rota Builder</t>
        </is>
      </c>
      <c r="C139" s="14" t="inlineStr">
        <is>
          <t xml:space="preserve">Views, totals and tools</t>
        </is>
      </c>
      <c r="D139" s="14" t="inlineStr">
        <is>
          <t xml:space="preserve">Usability</t>
        </is>
      </c>
      <c r="E139" s="14" t="inlineStr">
        <is>
          <t xml:space="preserve">Open the overflow menu on mobile</t>
        </is>
      </c>
      <c r="F139" s="14" t="inlineStr">
        <is>
          <t xml:space="preserve">High</t>
        </is>
      </c>
      <c r="G139" s="14" t="inlineStr">
        <is>
          <t xml:space="preserve">Medium</t>
        </is>
      </c>
      <c r="H139" s="14" t="inlineStr">
        <is>
          <t xml:space="preserve">Beta</t>
        </is>
      </c>
      <c r="I139" s="14" t="inlineStr">
        <is>
          <t xml:space="preserve">Manager can edit the selected location; employees, zones and a draft week exist.</t>
        </is>
      </c>
      <c r="J139" s="14" t="inlineStr">
        <is>
          <t xml:space="preserve">1. Prepare the stated preconditions and sign in with the required role.
2. Navigate to Views, totals and tools.
3. Execute: Open the overflow menu on mobile.
4. Refresh or reopen the relevant page and inspect persisted data.
5. Verify UI feedback, permissions, notifications and audit records where applicable.</t>
        </is>
      </c>
      <c r="K139" s="14" t="inlineStr">
        <is>
          <t xml:space="preserve">Day, overnight, split and to-close shifts; 10–200 employees</t>
        </is>
      </c>
      <c r="L139" s="14" t="inlineStr">
        <is>
          <t xml:space="preserve">Non-essential actions are reachable, labelled and do not overcrowd the toolbar.</t>
        </is>
      </c>
      <c r="M139" s="14" t="inlineStr">
        <is>
          <t xml:space="preserve">Candidate</t>
        </is>
      </c>
      <c r="N139" s="14" t="inlineStr">
        <is>
          <t xml:space="preserve">Yes</t>
        </is>
      </c>
      <c r="O139" s="14" t="inlineStr">
        <is>
          <t xml:space="preserve">Active</t>
        </is>
      </c>
      <c r="P139" s="14"/>
    </row>
    <row r="140">
      <c r="A140" s="14" t="inlineStr">
        <is>
          <t xml:space="preserve">RR-0140</t>
        </is>
      </c>
      <c r="B140" s="14" t="inlineStr">
        <is>
          <t xml:space="preserve">Rota Builder</t>
        </is>
      </c>
      <c r="C140" s="14" t="inlineStr">
        <is>
          <t xml:space="preserve">Views, totals and tools</t>
        </is>
      </c>
      <c r="D140" s="14" t="inlineStr">
        <is>
          <t xml:space="preserve">Functional</t>
        </is>
      </c>
      <c r="E140" s="14" t="inlineStr">
        <is>
          <t xml:space="preserve">Use copy-last-week</t>
        </is>
      </c>
      <c r="F140" s="14" t="inlineStr">
        <is>
          <t xml:space="preserve">Critical</t>
        </is>
      </c>
      <c r="G140" s="14" t="inlineStr">
        <is>
          <t xml:space="preserve">Medium</t>
        </is>
      </c>
      <c r="H140" s="14" t="inlineStr">
        <is>
          <t xml:space="preserve">Beta</t>
        </is>
      </c>
      <c r="I140" s="14" t="inlineStr">
        <is>
          <t xml:space="preserve">Manager can edit the selected location; employees, zones and a draft week exist.</t>
        </is>
      </c>
      <c r="J140" s="14" t="inlineStr">
        <is>
          <t xml:space="preserve">1. Prepare the stated preconditions and sign in with the required role.
2. Navigate to Views, totals and tools.
3. Execute: Use copy-last-week.
4. Refresh or reopen the relevant page and inspect persisted data.
5. Verify UI feedback, permissions, notifications and audit records where applicable.</t>
        </is>
      </c>
      <c r="K140" s="14" t="inlineStr">
        <is>
          <t xml:space="preserve">Day, overnight, split and to-close shifts; 10–200 employees</t>
        </is>
      </c>
      <c r="L140" s="14" t="inlineStr">
        <is>
          <t xml:space="preserve">A new independent draft is created with dates shifted correctly.</t>
        </is>
      </c>
      <c r="M140" s="14" t="inlineStr">
        <is>
          <t xml:space="preserve">Candidate</t>
        </is>
      </c>
      <c r="N140" s="14" t="inlineStr">
        <is>
          <t xml:space="preserve">Yes</t>
        </is>
      </c>
      <c r="O140" s="14" t="inlineStr">
        <is>
          <t xml:space="preserve">Active</t>
        </is>
      </c>
      <c r="P140" s="14"/>
    </row>
    <row r="141">
      <c r="A141" s="14" t="inlineStr">
        <is>
          <t xml:space="preserve">RR-0141</t>
        </is>
      </c>
      <c r="B141" s="14" t="inlineStr">
        <is>
          <t xml:space="preserve">Rota Builder</t>
        </is>
      </c>
      <c r="C141" s="14" t="inlineStr">
        <is>
          <t xml:space="preserve">Views, totals and tools</t>
        </is>
      </c>
      <c r="D141" s="14" t="inlineStr">
        <is>
          <t xml:space="preserve">Negative</t>
        </is>
      </c>
      <c r="E141" s="14" t="inlineStr">
        <is>
          <t xml:space="preserve">Clear all shifts</t>
        </is>
      </c>
      <c r="F141" s="14" t="inlineStr">
        <is>
          <t xml:space="preserve">Critical</t>
        </is>
      </c>
      <c r="G141" s="14" t="inlineStr">
        <is>
          <t xml:space="preserve">Medium</t>
        </is>
      </c>
      <c r="H141" s="14" t="inlineStr">
        <is>
          <t xml:space="preserve">Beta</t>
        </is>
      </c>
      <c r="I141" s="14" t="inlineStr">
        <is>
          <t xml:space="preserve">Manager can edit the selected location; employees, zones and a draft week exist.</t>
        </is>
      </c>
      <c r="J141" s="14" t="inlineStr">
        <is>
          <t xml:space="preserve">1. Prepare the stated preconditions and sign in with the required role.
2. Navigate to Views, totals and tools.
3. Execute: Clear all shifts.
4. Refresh or reopen the relevant page and inspect persisted data.
5. Verify UI feedback, permissions, notifications and audit records where applicable.</t>
        </is>
      </c>
      <c r="K141" s="14" t="inlineStr">
        <is>
          <t xml:space="preserve">Day, overnight, split and to-close shifts; 10–200 employees</t>
        </is>
      </c>
      <c r="L141" s="14" t="inlineStr">
        <is>
          <t xml:space="preserve">Destructive confirmation appears and only the selected draft/week is cleared.</t>
        </is>
      </c>
      <c r="M141" s="14" t="inlineStr">
        <is>
          <t xml:space="preserve">Candidate</t>
        </is>
      </c>
      <c r="N141" s="14" t="inlineStr">
        <is>
          <t xml:space="preserve">Yes</t>
        </is>
      </c>
      <c r="O141" s="14" t="inlineStr">
        <is>
          <t xml:space="preserve">Active</t>
        </is>
      </c>
      <c r="P141" s="14"/>
    </row>
    <row r="142">
      <c r="A142" s="14" t="inlineStr">
        <is>
          <t xml:space="preserve">RR-0142</t>
        </is>
      </c>
      <c r="B142" s="14" t="inlineStr">
        <is>
          <t xml:space="preserve">Rota Builder</t>
        </is>
      </c>
      <c r="C142" s="14" t="inlineStr">
        <is>
          <t xml:space="preserve">Views, totals and tools</t>
        </is>
      </c>
      <c r="D142" s="14" t="inlineStr">
        <is>
          <t xml:space="preserve">Functional</t>
        </is>
      </c>
      <c r="E142" s="14" t="inlineStr">
        <is>
          <t xml:space="preserve">Undo the last supported action</t>
        </is>
      </c>
      <c r="F142" s="14" t="inlineStr">
        <is>
          <t xml:space="preserve">Medium</t>
        </is>
      </c>
      <c r="G142" s="14" t="inlineStr">
        <is>
          <t xml:space="preserve">Medium</t>
        </is>
      </c>
      <c r="H142" s="14" t="inlineStr">
        <is>
          <t xml:space="preserve">Beta</t>
        </is>
      </c>
      <c r="I142" s="14" t="inlineStr">
        <is>
          <t xml:space="preserve">Manager can edit the selected location; employees, zones and a draft week exist.</t>
        </is>
      </c>
      <c r="J142" s="14" t="inlineStr">
        <is>
          <t xml:space="preserve">1. Prepare the stated preconditions and sign in with the required role.
2. Navigate to Views, totals and tools.
3. Execute: Undo the last supported action.
4. Refresh or reopen the relevant page and inspect persisted data.
5. Verify UI feedback, permissions, notifications and audit records where applicable.</t>
        </is>
      </c>
      <c r="K142" s="14" t="inlineStr">
        <is>
          <t xml:space="preserve">Day, overnight, split and to-close shifts; 10–200 employees</t>
        </is>
      </c>
      <c r="L142" s="14" t="inlineStr">
        <is>
          <t xml:space="preserve">The previous state is restored exactly once.</t>
        </is>
      </c>
      <c r="M142" s="14" t="inlineStr">
        <is>
          <t xml:space="preserve">Candidate</t>
        </is>
      </c>
      <c r="N142" s="14" t="inlineStr">
        <is>
          <t xml:space="preserve">No</t>
        </is>
      </c>
      <c r="O142" s="14" t="inlineStr">
        <is>
          <t xml:space="preserve">Active</t>
        </is>
      </c>
      <c r="P142" s="14"/>
    </row>
    <row r="143">
      <c r="A143" s="14" t="inlineStr">
        <is>
          <t xml:space="preserve">RR-0143</t>
        </is>
      </c>
      <c r="B143" s="14" t="inlineStr">
        <is>
          <t xml:space="preserve">Rota Builder</t>
        </is>
      </c>
      <c r="C143" s="14" t="inlineStr">
        <is>
          <t xml:space="preserve">Views, totals and tools</t>
        </is>
      </c>
      <c r="D143" s="14" t="inlineStr">
        <is>
          <t xml:space="preserve">Functional</t>
        </is>
      </c>
      <c r="E143" s="14" t="inlineStr">
        <is>
          <t xml:space="preserve">Calculate daily and weekly scheduled hours</t>
        </is>
      </c>
      <c r="F143" s="14" t="inlineStr">
        <is>
          <t xml:space="preserve">Critical</t>
        </is>
      </c>
      <c r="G143" s="14" t="inlineStr">
        <is>
          <t xml:space="preserve">Medium</t>
        </is>
      </c>
      <c r="H143" s="14" t="inlineStr">
        <is>
          <t xml:space="preserve">Beta</t>
        </is>
      </c>
      <c r="I143" s="14" t="inlineStr">
        <is>
          <t xml:space="preserve">Manager can edit the selected location; employees, zones and a draft week exist.</t>
        </is>
      </c>
      <c r="J143" s="14" t="inlineStr">
        <is>
          <t xml:space="preserve">1. Prepare the stated preconditions and sign in with the required role.
2. Navigate to Views, totals and tools.
3. Execute: Calculate daily and weekly scheduled hours.
4. Refresh or reopen the relevant page and inspect persisted data.
5. Verify UI feedback, permissions, notifications and audit records where applicable.</t>
        </is>
      </c>
      <c r="K143" s="14" t="inlineStr">
        <is>
          <t xml:space="preserve">Day, overnight, split and to-close shifts; 10–200 employees</t>
        </is>
      </c>
      <c r="L143" s="14" t="inlineStr">
        <is>
          <t xml:space="preserve">Totals equal the sum of paid shift durations including overnight/split rules.</t>
        </is>
      </c>
      <c r="M143" s="14" t="inlineStr">
        <is>
          <t xml:space="preserve">Candidate</t>
        </is>
      </c>
      <c r="N143" s="14" t="inlineStr">
        <is>
          <t xml:space="preserve">Yes</t>
        </is>
      </c>
      <c r="O143" s="14" t="inlineStr">
        <is>
          <t xml:space="preserve">Active</t>
        </is>
      </c>
      <c r="P143" s="14"/>
    </row>
    <row r="144">
      <c r="A144" s="14" t="inlineStr">
        <is>
          <t xml:space="preserve">RR-0144</t>
        </is>
      </c>
      <c r="B144" s="14" t="inlineStr">
        <is>
          <t xml:space="preserve">Rota Builder</t>
        </is>
      </c>
      <c r="C144" s="14" t="inlineStr">
        <is>
          <t xml:space="preserve">Views, totals and tools</t>
        </is>
      </c>
      <c r="D144" s="14" t="inlineStr">
        <is>
          <t xml:space="preserve">Functional</t>
        </is>
      </c>
      <c r="E144" s="14" t="inlineStr">
        <is>
          <t xml:space="preserve">Calculate estimated labour cost</t>
        </is>
      </c>
      <c r="F144" s="14" t="inlineStr">
        <is>
          <t xml:space="preserve">Critical</t>
        </is>
      </c>
      <c r="G144" s="14" t="inlineStr">
        <is>
          <t xml:space="preserve">Medium</t>
        </is>
      </c>
      <c r="H144" s="14" t="inlineStr">
        <is>
          <t xml:space="preserve">Beta</t>
        </is>
      </c>
      <c r="I144" s="14" t="inlineStr">
        <is>
          <t xml:space="preserve">Manager can edit the selected location; employees, zones and a draft week exist.</t>
        </is>
      </c>
      <c r="J144" s="14" t="inlineStr">
        <is>
          <t xml:space="preserve">1. Prepare the stated preconditions and sign in with the required role.
2. Navigate to Views, totals and tools.
3. Execute: Calculate estimated labour cost.
4. Refresh or reopen the relevant page and inspect persisted data.
5. Verify UI feedback, permissions, notifications and audit records where applicable.</t>
        </is>
      </c>
      <c r="K144" s="14" t="inlineStr">
        <is>
          <t xml:space="preserve">Day, overnight, split and to-close shifts; 10–200 employees</t>
        </is>
      </c>
      <c r="L144" s="14" t="inlineStr">
        <is>
          <t xml:space="preserve">Rates, breaks, overtime policy and location attribution are applied accurately.</t>
        </is>
      </c>
      <c r="M144" s="14" t="inlineStr">
        <is>
          <t xml:space="preserve">Candidate</t>
        </is>
      </c>
      <c r="N144" s="14" t="inlineStr">
        <is>
          <t xml:space="preserve">Yes</t>
        </is>
      </c>
      <c r="O144" s="14" t="inlineStr">
        <is>
          <t xml:space="preserve">Active</t>
        </is>
      </c>
      <c r="P144" s="14"/>
    </row>
    <row r="145">
      <c r="A145" s="14" t="inlineStr">
        <is>
          <t xml:space="preserve">RR-0145</t>
        </is>
      </c>
      <c r="B145" s="14" t="inlineStr">
        <is>
          <t xml:space="preserve">Rota Builder</t>
        </is>
      </c>
      <c r="C145" s="14" t="inlineStr">
        <is>
          <t xml:space="preserve">Views, totals and tools</t>
        </is>
      </c>
      <c r="D145" s="14" t="inlineStr">
        <is>
          <t xml:space="preserve">Performance</t>
        </is>
      </c>
      <c r="E145" s="14" t="inlineStr">
        <is>
          <t xml:space="preserve">Display 200 employees in grouped lists</t>
        </is>
      </c>
      <c r="F145" s="14" t="inlineStr">
        <is>
          <t xml:space="preserve">High</t>
        </is>
      </c>
      <c r="G145" s="14" t="inlineStr">
        <is>
          <t xml:space="preserve">Medium</t>
        </is>
      </c>
      <c r="H145" s="14" t="inlineStr">
        <is>
          <t xml:space="preserve">Beta</t>
        </is>
      </c>
      <c r="I145" s="14" t="inlineStr">
        <is>
          <t xml:space="preserve">Manager can edit the selected location; employees, zones and a draft week exist.</t>
        </is>
      </c>
      <c r="J145" s="14" t="inlineStr">
        <is>
          <t xml:space="preserve">1. Prepare the stated preconditions and sign in with the required role.
2. Navigate to Views, totals and tools.
3. Execute: Display 200 employees in grouped lists.
4. Refresh or reopen the relevant page and inspect persisted data.
5. Verify UI feedback, permissions, notifications and audit records where applicable.</t>
        </is>
      </c>
      <c r="K145" s="14" t="inlineStr">
        <is>
          <t xml:space="preserve">Day, overnight, split and to-close shifts; 10–200 employees</t>
        </is>
      </c>
      <c r="L145" s="14" t="inlineStr">
        <is>
          <t xml:space="preserve">Scrolling, dragging and filtering remain usable within performance targets.</t>
        </is>
      </c>
      <c r="M145" s="14" t="inlineStr">
        <is>
          <t xml:space="preserve">Candidate</t>
        </is>
      </c>
      <c r="N145" s="14" t="inlineStr">
        <is>
          <t xml:space="preserve">Yes</t>
        </is>
      </c>
      <c r="O145" s="14" t="inlineStr">
        <is>
          <t xml:space="preserve">Active</t>
        </is>
      </c>
      <c r="P145" s="14"/>
    </row>
    <row r="146">
      <c r="A146" s="14" t="inlineStr">
        <is>
          <t xml:space="preserve">RR-0146</t>
        </is>
      </c>
      <c r="B146" s="14" t="inlineStr">
        <is>
          <t xml:space="preserve">Rota Builder</t>
        </is>
      </c>
      <c r="C146" s="14" t="inlineStr">
        <is>
          <t xml:space="preserve">Views, totals and tools</t>
        </is>
      </c>
      <c r="D146" s="14" t="inlineStr">
        <is>
          <t xml:space="preserve">Functional</t>
        </is>
      </c>
      <c r="E146" s="14" t="inlineStr">
        <is>
          <t xml:space="preserve">Search employees by name</t>
        </is>
      </c>
      <c r="F146" s="14" t="inlineStr">
        <is>
          <t xml:space="preserve">Medium</t>
        </is>
      </c>
      <c r="G146" s="14" t="inlineStr">
        <is>
          <t xml:space="preserve">Medium</t>
        </is>
      </c>
      <c r="H146" s="14" t="inlineStr">
        <is>
          <t xml:space="preserve">Beta</t>
        </is>
      </c>
      <c r="I146" s="14" t="inlineStr">
        <is>
          <t xml:space="preserve">Manager can edit the selected location; employees, zones and a draft week exist.</t>
        </is>
      </c>
      <c r="J146" s="14" t="inlineStr">
        <is>
          <t xml:space="preserve">1. Prepare the stated preconditions and sign in with the required role.
2. Navigate to Views, totals and tools.
3. Execute: Search employees by name.
4. Refresh or reopen the relevant page and inspect persisted data.
5. Verify UI feedback, permissions, notifications and audit records where applicable.</t>
        </is>
      </c>
      <c r="K146" s="14" t="inlineStr">
        <is>
          <t xml:space="preserve">Day, overnight, split and to-close shifts; 10–200 employees</t>
        </is>
      </c>
      <c r="L146" s="14" t="inlineStr">
        <is>
          <t xml:space="preserve">Matching employees are found regardless of group state without exposing other locations.</t>
        </is>
      </c>
      <c r="M146" s="14" t="inlineStr">
        <is>
          <t xml:space="preserve">Candidate</t>
        </is>
      </c>
      <c r="N146" s="14" t="inlineStr">
        <is>
          <t xml:space="preserve">No</t>
        </is>
      </c>
      <c r="O146" s="14" t="inlineStr">
        <is>
          <t xml:space="preserve">Active</t>
        </is>
      </c>
      <c r="P146" s="14"/>
    </row>
    <row r="147">
      <c r="A147" s="14" t="inlineStr">
        <is>
          <t xml:space="preserve">RR-0147</t>
        </is>
      </c>
      <c r="B147" s="14" t="inlineStr">
        <is>
          <t xml:space="preserve">Rota Builder</t>
        </is>
      </c>
      <c r="C147" s="14" t="inlineStr">
        <is>
          <t xml:space="preserve">Views, totals and tools</t>
        </is>
      </c>
      <c r="D147" s="14" t="inlineStr">
        <is>
          <t xml:space="preserve">Functional</t>
        </is>
      </c>
      <c r="E147" s="14" t="inlineStr">
        <is>
          <t xml:space="preserve">Show an employee with no role colour configured</t>
        </is>
      </c>
      <c r="F147" s="14" t="inlineStr">
        <is>
          <t xml:space="preserve">Low</t>
        </is>
      </c>
      <c r="G147" s="14" t="inlineStr">
        <is>
          <t xml:space="preserve">Medium</t>
        </is>
      </c>
      <c r="H147" s="14" t="inlineStr">
        <is>
          <t xml:space="preserve">Beta</t>
        </is>
      </c>
      <c r="I147" s="14" t="inlineStr">
        <is>
          <t xml:space="preserve">Manager can edit the selected location; employees, zones and a draft week exist.</t>
        </is>
      </c>
      <c r="J147" s="14" t="inlineStr">
        <is>
          <t xml:space="preserve">1. Prepare the stated preconditions and sign in with the required role.
2. Navigate to Views, totals and tools.
3. Execute: Show an employee with no role colour configured.
4. Refresh or reopen the relevant page and inspect persisted data.
5. Verify UI feedback, permissions, notifications and audit records where applicable.</t>
        </is>
      </c>
      <c r="K147" s="14" t="inlineStr">
        <is>
          <t xml:space="preserve">Day, overnight, split and to-close shifts; 10–200 employees</t>
        </is>
      </c>
      <c r="L147" s="14" t="inlineStr">
        <is>
          <t xml:space="preserve">A safe default style appears and layout remains consistent.</t>
        </is>
      </c>
      <c r="M147" s="14" t="inlineStr">
        <is>
          <t xml:space="preserve">Candidate</t>
        </is>
      </c>
      <c r="N147" s="14" t="inlineStr">
        <is>
          <t xml:space="preserve">No</t>
        </is>
      </c>
      <c r="O147" s="14" t="inlineStr">
        <is>
          <t xml:space="preserve">Active</t>
        </is>
      </c>
      <c r="P147" s="14"/>
    </row>
    <row r="148">
      <c r="A148" s="14" t="inlineStr">
        <is>
          <t xml:space="preserve">RR-0148</t>
        </is>
      </c>
      <c r="B148" s="14" t="inlineStr">
        <is>
          <t xml:space="preserve">Publishing &amp; Notifications</t>
        </is>
      </c>
      <c r="C148" s="14" t="inlineStr">
        <is>
          <t xml:space="preserve">Rota lifecycle</t>
        </is>
      </c>
      <c r="D148" s="14" t="inlineStr">
        <is>
          <t xml:space="preserve">Functional</t>
        </is>
      </c>
      <c r="E148" s="14" t="inlineStr">
        <is>
          <t xml:space="preserve">Publish a valid draft rota</t>
        </is>
      </c>
      <c r="F148" s="14" t="inlineStr">
        <is>
          <t xml:space="preserve">Critical</t>
        </is>
      </c>
      <c r="G148" s="14" t="inlineStr">
        <is>
          <t xml:space="preserve">Medium</t>
        </is>
      </c>
      <c r="H148" s="14" t="inlineStr">
        <is>
          <t xml:space="preserve">Beta</t>
        </is>
      </c>
      <c r="I148" s="14" t="inlineStr">
        <is>
          <t xml:space="preserve">A draft rota exists; email and push providers are configured in staging.</t>
        </is>
      </c>
      <c r="J148" s="14" t="inlineStr">
        <is>
          <t xml:space="preserve">1. Prepare the stated preconditions and sign in with the required role.
2. Navigate to Rota lifecycle.
3. Execute: Publish a valid draft rota.
4. Refresh or reopen the relevant page and inspect persisted data.
5. Verify UI feedback, permissions, notifications and audit records where applicable.</t>
        </is>
      </c>
      <c r="K148" s="14" t="inlineStr">
        <is>
          <t xml:space="preserve">Draft, scheduled and published rotas; push/email preferences</t>
        </is>
      </c>
      <c r="L148" s="14" t="inlineStr">
        <is>
          <t xml:space="preserve">The draft becomes published atomically and employees can view the correct shifts.</t>
        </is>
      </c>
      <c r="M148" s="14" t="inlineStr">
        <is>
          <t xml:space="preserve">Candidate</t>
        </is>
      </c>
      <c r="N148" s="14" t="inlineStr">
        <is>
          <t xml:space="preserve">Yes</t>
        </is>
      </c>
      <c r="O148" s="14" t="inlineStr">
        <is>
          <t xml:space="preserve">Active</t>
        </is>
      </c>
      <c r="P148" s="14"/>
    </row>
    <row r="149">
      <c r="A149" s="14" t="inlineStr">
        <is>
          <t xml:space="preserve">RR-0149</t>
        </is>
      </c>
      <c r="B149" s="14" t="inlineStr">
        <is>
          <t xml:space="preserve">Publishing &amp; Notifications</t>
        </is>
      </c>
      <c r="C149" s="14" t="inlineStr">
        <is>
          <t xml:space="preserve">Rota lifecycle</t>
        </is>
      </c>
      <c r="D149" s="14" t="inlineStr">
        <is>
          <t xml:space="preserve">Negative</t>
        </is>
      </c>
      <c r="E149" s="14" t="inlineStr">
        <is>
          <t xml:space="preserve">Publish an empty rota</t>
        </is>
      </c>
      <c r="F149" s="14" t="inlineStr">
        <is>
          <t xml:space="preserve">High</t>
        </is>
      </c>
      <c r="G149" s="14" t="inlineStr">
        <is>
          <t xml:space="preserve">Medium</t>
        </is>
      </c>
      <c r="H149" s="14" t="inlineStr">
        <is>
          <t xml:space="preserve">Beta</t>
        </is>
      </c>
      <c r="I149" s="14" t="inlineStr">
        <is>
          <t xml:space="preserve">A draft rota exists; email and push providers are configured in staging.</t>
        </is>
      </c>
      <c r="J149" s="14" t="inlineStr">
        <is>
          <t xml:space="preserve">1. Prepare the stated preconditions and sign in with the required role.
2. Navigate to Rota lifecycle.
3. Execute: Publish an empty rota.
4. Refresh or reopen the relevant page and inspect persisted data.
5. Verify UI feedback, permissions, notifications and audit records where applicable.</t>
        </is>
      </c>
      <c r="K149" s="14" t="inlineStr">
        <is>
          <t xml:space="preserve">Draft, scheduled and published rotas; push/email preferences</t>
        </is>
      </c>
      <c r="L149" s="14" t="inlineStr">
        <is>
          <t xml:space="preserve">The system warns or blocks according to policy and does not send misleading notifications.</t>
        </is>
      </c>
      <c r="M149" s="14" t="inlineStr">
        <is>
          <t xml:space="preserve">Candidate</t>
        </is>
      </c>
      <c r="N149" s="14" t="inlineStr">
        <is>
          <t xml:space="preserve">Yes</t>
        </is>
      </c>
      <c r="O149" s="14" t="inlineStr">
        <is>
          <t xml:space="preserve">Active</t>
        </is>
      </c>
      <c r="P149" s="14"/>
    </row>
    <row r="150">
      <c r="A150" s="14" t="inlineStr">
        <is>
          <t xml:space="preserve">RR-0150</t>
        </is>
      </c>
      <c r="B150" s="14" t="inlineStr">
        <is>
          <t xml:space="preserve">Publishing &amp; Notifications</t>
        </is>
      </c>
      <c r="C150" s="14" t="inlineStr">
        <is>
          <t xml:space="preserve">Rota lifecycle</t>
        </is>
      </c>
      <c r="D150" s="14" t="inlineStr">
        <is>
          <t xml:space="preserve">Functional</t>
        </is>
      </c>
      <c r="E150" s="14" t="inlineStr">
        <is>
          <t xml:space="preserve">Publish with unassigned shifts</t>
        </is>
      </c>
      <c r="F150" s="14" t="inlineStr">
        <is>
          <t xml:space="preserve">High</t>
        </is>
      </c>
      <c r="G150" s="14" t="inlineStr">
        <is>
          <t xml:space="preserve">Medium</t>
        </is>
      </c>
      <c r="H150" s="14" t="inlineStr">
        <is>
          <t xml:space="preserve">Beta</t>
        </is>
      </c>
      <c r="I150" s="14" t="inlineStr">
        <is>
          <t xml:space="preserve">A draft rota exists; email and push providers are configured in staging.</t>
        </is>
      </c>
      <c r="J150" s="14" t="inlineStr">
        <is>
          <t xml:space="preserve">1. Prepare the stated preconditions and sign in with the required role.
2. Navigate to Rota lifecycle.
3. Execute: Publish with unassigned shifts.
4. Refresh or reopen the relevant page and inspect persisted data.
5. Verify UI feedback, permissions, notifications and audit records where applicable.</t>
        </is>
      </c>
      <c r="K150" s="14" t="inlineStr">
        <is>
          <t xml:space="preserve">Draft, scheduled and published rotas; push/email preferences</t>
        </is>
      </c>
      <c r="L150" s="14" t="inlineStr">
        <is>
          <t xml:space="preserve">A clear warning lists unresolved shifts before confirmation.</t>
        </is>
      </c>
      <c r="M150" s="14" t="inlineStr">
        <is>
          <t xml:space="preserve">Candidate</t>
        </is>
      </c>
      <c r="N150" s="14" t="inlineStr">
        <is>
          <t xml:space="preserve">Yes</t>
        </is>
      </c>
      <c r="O150" s="14" t="inlineStr">
        <is>
          <t xml:space="preserve">Active</t>
        </is>
      </c>
      <c r="P150" s="14"/>
    </row>
    <row r="151">
      <c r="A151" s="14" t="inlineStr">
        <is>
          <t xml:space="preserve">RR-0151</t>
        </is>
      </c>
      <c r="B151" s="14" t="inlineStr">
        <is>
          <t xml:space="preserve">Publishing &amp; Notifications</t>
        </is>
      </c>
      <c r="C151" s="14" t="inlineStr">
        <is>
          <t xml:space="preserve">Rota lifecycle</t>
        </is>
      </c>
      <c r="D151" s="14" t="inlineStr">
        <is>
          <t xml:space="preserve">Concurrency</t>
        </is>
      </c>
      <c r="E151" s="14" t="inlineStr">
        <is>
          <t xml:space="preserve">Publish while another manager edits the draft</t>
        </is>
      </c>
      <c r="F151" s="14" t="inlineStr">
        <is>
          <t xml:space="preserve">Critical</t>
        </is>
      </c>
      <c r="G151" s="14" t="inlineStr">
        <is>
          <t xml:space="preserve">Medium</t>
        </is>
      </c>
      <c r="H151" s="14" t="inlineStr">
        <is>
          <t xml:space="preserve">Beta</t>
        </is>
      </c>
      <c r="I151" s="14" t="inlineStr">
        <is>
          <t xml:space="preserve">A draft rota exists; email and push providers are configured in staging.</t>
        </is>
      </c>
      <c r="J151" s="14" t="inlineStr">
        <is>
          <t xml:space="preserve">1. Prepare the stated preconditions and sign in with the required role.
2. Navigate to Rota lifecycle.
3. Execute: Publish while another manager edits the draft.
4. Refresh or reopen the relevant page and inspect persisted data.
5. Verify UI feedback, permissions, notifications and audit records where applicable.</t>
        </is>
      </c>
      <c r="K151" s="14" t="inlineStr">
        <is>
          <t xml:space="preserve">Draft, scheduled and published rotas; push/email preferences</t>
        </is>
      </c>
      <c r="L151" s="14" t="inlineStr">
        <is>
          <t xml:space="preserve">Version conflict is detected and no edits are silently lost.</t>
        </is>
      </c>
      <c r="M151" s="14" t="inlineStr">
        <is>
          <t xml:space="preserve">Candidate</t>
        </is>
      </c>
      <c r="N151" s="14" t="inlineStr">
        <is>
          <t xml:space="preserve">Yes</t>
        </is>
      </c>
      <c r="O151" s="14" t="inlineStr">
        <is>
          <t xml:space="preserve">Active</t>
        </is>
      </c>
      <c r="P151" s="14"/>
    </row>
    <row r="152">
      <c r="A152" s="14" t="inlineStr">
        <is>
          <t xml:space="preserve">RR-0152</t>
        </is>
      </c>
      <c r="B152" s="14" t="inlineStr">
        <is>
          <t xml:space="preserve">Publishing &amp; Notifications</t>
        </is>
      </c>
      <c r="C152" s="14" t="inlineStr">
        <is>
          <t xml:space="preserve">Rota lifecycle</t>
        </is>
      </c>
      <c r="D152" s="14" t="inlineStr">
        <is>
          <t xml:space="preserve">Functional</t>
        </is>
      </c>
      <c r="E152" s="14" t="inlineStr">
        <is>
          <t xml:space="preserve">Schedule publication for a future date/time</t>
        </is>
      </c>
      <c r="F152" s="14" t="inlineStr">
        <is>
          <t xml:space="preserve">Critical</t>
        </is>
      </c>
      <c r="G152" s="14" t="inlineStr">
        <is>
          <t xml:space="preserve">Medium</t>
        </is>
      </c>
      <c r="H152" s="14" t="inlineStr">
        <is>
          <t xml:space="preserve">Beta</t>
        </is>
      </c>
      <c r="I152" s="14" t="inlineStr">
        <is>
          <t xml:space="preserve">A draft rota exists; email and push providers are configured in staging.</t>
        </is>
      </c>
      <c r="J152" s="14" t="inlineStr">
        <is>
          <t xml:space="preserve">1. Prepare the stated preconditions and sign in with the required role.
2. Navigate to Rota lifecycle.
3. Execute: Schedule publication for a future date/time.
4. Refresh or reopen the relevant page and inspect persisted data.
5. Verify UI feedback, permissions, notifications and audit records where applicable.</t>
        </is>
      </c>
      <c r="K152" s="14" t="inlineStr">
        <is>
          <t xml:space="preserve">Draft, scheduled and published rotas; push/email preferences</t>
        </is>
      </c>
      <c r="L152" s="14" t="inlineStr">
        <is>
          <t xml:space="preserve">Rota remains scheduled and publishes once at the intended organisation timezone.</t>
        </is>
      </c>
      <c r="M152" s="14" t="inlineStr">
        <is>
          <t xml:space="preserve">Candidate</t>
        </is>
      </c>
      <c r="N152" s="14" t="inlineStr">
        <is>
          <t xml:space="preserve">Yes</t>
        </is>
      </c>
      <c r="O152" s="14" t="inlineStr">
        <is>
          <t xml:space="preserve">Active</t>
        </is>
      </c>
      <c r="P152" s="14"/>
    </row>
    <row r="153">
      <c r="A153" s="14" t="inlineStr">
        <is>
          <t xml:space="preserve">RR-0153</t>
        </is>
      </c>
      <c r="B153" s="14" t="inlineStr">
        <is>
          <t xml:space="preserve">Publishing &amp; Notifications</t>
        </is>
      </c>
      <c r="C153" s="14" t="inlineStr">
        <is>
          <t xml:space="preserve">Rota lifecycle</t>
        </is>
      </c>
      <c r="D153" s="14" t="inlineStr">
        <is>
          <t xml:space="preserve">Functional</t>
        </is>
      </c>
      <c r="E153" s="14" t="inlineStr">
        <is>
          <t xml:space="preserve">Cancel scheduled publication</t>
        </is>
      </c>
      <c r="F153" s="14" t="inlineStr">
        <is>
          <t xml:space="preserve">High</t>
        </is>
      </c>
      <c r="G153" s="14" t="inlineStr">
        <is>
          <t xml:space="preserve">Medium</t>
        </is>
      </c>
      <c r="H153" s="14" t="inlineStr">
        <is>
          <t xml:space="preserve">Beta</t>
        </is>
      </c>
      <c r="I153" s="14" t="inlineStr">
        <is>
          <t xml:space="preserve">A draft rota exists; email and push providers are configured in staging.</t>
        </is>
      </c>
      <c r="J153" s="14" t="inlineStr">
        <is>
          <t xml:space="preserve">1. Prepare the stated preconditions and sign in with the required role.
2. Navigate to Rota lifecycle.
3. Execute: Cancel scheduled publication.
4. Refresh or reopen the relevant page and inspect persisted data.
5. Verify UI feedback, permissions, notifications and audit records where applicable.</t>
        </is>
      </c>
      <c r="K153" s="14" t="inlineStr">
        <is>
          <t xml:space="preserve">Draft, scheduled and published rotas; push/email preferences</t>
        </is>
      </c>
      <c r="L153" s="14" t="inlineStr">
        <is>
          <t xml:space="preserve">The schedule is removed and no notifications are sent.</t>
        </is>
      </c>
      <c r="M153" s="14" t="inlineStr">
        <is>
          <t xml:space="preserve">Candidate</t>
        </is>
      </c>
      <c r="N153" s="14" t="inlineStr">
        <is>
          <t xml:space="preserve">Yes</t>
        </is>
      </c>
      <c r="O153" s="14" t="inlineStr">
        <is>
          <t xml:space="preserve">Active</t>
        </is>
      </c>
      <c r="P153" s="14"/>
    </row>
    <row r="154">
      <c r="A154" s="14" t="inlineStr">
        <is>
          <t xml:space="preserve">RR-0154</t>
        </is>
      </c>
      <c r="B154" s="14" t="inlineStr">
        <is>
          <t xml:space="preserve">Publishing &amp; Notifications</t>
        </is>
      </c>
      <c r="C154" s="14" t="inlineStr">
        <is>
          <t xml:space="preserve">Rota lifecycle</t>
        </is>
      </c>
      <c r="D154" s="14" t="inlineStr">
        <is>
          <t xml:space="preserve">Functional</t>
        </is>
      </c>
      <c r="E154" s="14" t="inlineStr">
        <is>
          <t xml:space="preserve">Edit a shift after publication</t>
        </is>
      </c>
      <c r="F154" s="14" t="inlineStr">
        <is>
          <t xml:space="preserve">Critical</t>
        </is>
      </c>
      <c r="G154" s="14" t="inlineStr">
        <is>
          <t xml:space="preserve">Medium</t>
        </is>
      </c>
      <c r="H154" s="14" t="inlineStr">
        <is>
          <t xml:space="preserve">Beta</t>
        </is>
      </c>
      <c r="I154" s="14" t="inlineStr">
        <is>
          <t xml:space="preserve">A draft rota exists; email and push providers are configured in staging.</t>
        </is>
      </c>
      <c r="J154" s="14" t="inlineStr">
        <is>
          <t xml:space="preserve">1. Prepare the stated preconditions and sign in with the required role.
2. Navigate to Rota lifecycle.
3. Execute: Edit a shift after publication.
4. Refresh or reopen the relevant page and inspect persisted data.
5. Verify UI feedback, permissions, notifications and audit records where applicable.</t>
        </is>
      </c>
      <c r="K154" s="14" t="inlineStr">
        <is>
          <t xml:space="preserve">Draft, scheduled and published rotas; push/email preferences</t>
        </is>
      </c>
      <c r="L154" s="14" t="inlineStr">
        <is>
          <t xml:space="preserve">Change workflow records the edit and identifies affected employees.</t>
        </is>
      </c>
      <c r="M154" s="14" t="inlineStr">
        <is>
          <t xml:space="preserve">Candidate</t>
        </is>
      </c>
      <c r="N154" s="14" t="inlineStr">
        <is>
          <t xml:space="preserve">Yes</t>
        </is>
      </c>
      <c r="O154" s="14" t="inlineStr">
        <is>
          <t xml:space="preserve">Active</t>
        </is>
      </c>
      <c r="P154" s="14"/>
    </row>
    <row r="155">
      <c r="A155" s="14" t="inlineStr">
        <is>
          <t xml:space="preserve">RR-0155</t>
        </is>
      </c>
      <c r="B155" s="14" t="inlineStr">
        <is>
          <t xml:space="preserve">Publishing &amp; Notifications</t>
        </is>
      </c>
      <c r="C155" s="14" t="inlineStr">
        <is>
          <t xml:space="preserve">Rota lifecycle</t>
        </is>
      </c>
      <c r="D155" s="14" t="inlineStr">
        <is>
          <t xml:space="preserve">Functional</t>
        </is>
      </c>
      <c r="E155" s="14" t="inlineStr">
        <is>
          <t xml:space="preserve">Republish changes</t>
        </is>
      </c>
      <c r="F155" s="14" t="inlineStr">
        <is>
          <t xml:space="preserve">Critical</t>
        </is>
      </c>
      <c r="G155" s="14" t="inlineStr">
        <is>
          <t xml:space="preserve">Medium</t>
        </is>
      </c>
      <c r="H155" s="14" t="inlineStr">
        <is>
          <t xml:space="preserve">Beta</t>
        </is>
      </c>
      <c r="I155" s="14" t="inlineStr">
        <is>
          <t xml:space="preserve">A draft rota exists; email and push providers are configured in staging.</t>
        </is>
      </c>
      <c r="J155" s="14" t="inlineStr">
        <is>
          <t xml:space="preserve">1. Prepare the stated preconditions and sign in with the required role.
2. Navigate to Rota lifecycle.
3. Execute: Republish changes.
4. Refresh or reopen the relevant page and inspect persisted data.
5. Verify UI feedback, permissions, notifications and audit records where applicable.</t>
        </is>
      </c>
      <c r="K155" s="14" t="inlineStr">
        <is>
          <t xml:space="preserve">Draft, scheduled and published rotas; push/email preferences</t>
        </is>
      </c>
      <c r="L155" s="14" t="inlineStr">
        <is>
          <t xml:space="preserve">Only the latest version is active and change notifications are not duplicated.</t>
        </is>
      </c>
      <c r="M155" s="14" t="inlineStr">
        <is>
          <t xml:space="preserve">Candidate</t>
        </is>
      </c>
      <c r="N155" s="14" t="inlineStr">
        <is>
          <t xml:space="preserve">Yes</t>
        </is>
      </c>
      <c r="O155" s="14" t="inlineStr">
        <is>
          <t xml:space="preserve">Active</t>
        </is>
      </c>
      <c r="P155" s="14"/>
    </row>
    <row r="156">
      <c r="A156" s="14" t="inlineStr">
        <is>
          <t xml:space="preserve">RR-0156</t>
        </is>
      </c>
      <c r="B156" s="14" t="inlineStr">
        <is>
          <t xml:space="preserve">Publishing &amp; Notifications</t>
        </is>
      </c>
      <c r="C156" s="14" t="inlineStr">
        <is>
          <t xml:space="preserve">Rota lifecycle</t>
        </is>
      </c>
      <c r="D156" s="14" t="inlineStr">
        <is>
          <t xml:space="preserve">Functional</t>
        </is>
      </c>
      <c r="E156" s="14" t="inlineStr">
        <is>
          <t xml:space="preserve">Remove a published employee shift</t>
        </is>
      </c>
      <c r="F156" s="14" t="inlineStr">
        <is>
          <t xml:space="preserve">Critical</t>
        </is>
      </c>
      <c r="G156" s="14" t="inlineStr">
        <is>
          <t xml:space="preserve">Medium</t>
        </is>
      </c>
      <c r="H156" s="14" t="inlineStr">
        <is>
          <t xml:space="preserve">Beta</t>
        </is>
      </c>
      <c r="I156" s="14" t="inlineStr">
        <is>
          <t xml:space="preserve">A draft rota exists; email and push providers are configured in staging.</t>
        </is>
      </c>
      <c r="J156" s="14" t="inlineStr">
        <is>
          <t xml:space="preserve">1. Prepare the stated preconditions and sign in with the required role.
2. Navigate to Rota lifecycle.
3. Execute: Remove a published employee shift.
4. Refresh or reopen the relevant page and inspect persisted data.
5. Verify UI feedback, permissions, notifications and audit records where applicable.</t>
        </is>
      </c>
      <c r="K156" s="14" t="inlineStr">
        <is>
          <t xml:space="preserve">Draft, scheduled and published rotas; push/email preferences</t>
        </is>
      </c>
      <c r="L156" s="14" t="inlineStr">
        <is>
          <t xml:space="preserve">Affected employee is clearly notified and history records who changed it.</t>
        </is>
      </c>
      <c r="M156" s="14" t="inlineStr">
        <is>
          <t xml:space="preserve">Candidate</t>
        </is>
      </c>
      <c r="N156" s="14" t="inlineStr">
        <is>
          <t xml:space="preserve">Yes</t>
        </is>
      </c>
      <c r="O156" s="14" t="inlineStr">
        <is>
          <t xml:space="preserve">Active</t>
        </is>
      </c>
      <c r="P156" s="14"/>
    </row>
    <row r="157">
      <c r="A157" s="14" t="inlineStr">
        <is>
          <t xml:space="preserve">RR-0157</t>
        </is>
      </c>
      <c r="B157" s="14" t="inlineStr">
        <is>
          <t xml:space="preserve">Publishing &amp; Notifications</t>
        </is>
      </c>
      <c r="C157" s="14" t="inlineStr">
        <is>
          <t xml:space="preserve">Rota lifecycle</t>
        </is>
      </c>
      <c r="D157" s="14" t="inlineStr">
        <is>
          <t xml:space="preserve">Functional</t>
        </is>
      </c>
      <c r="E157" s="14" t="inlineStr">
        <is>
          <t xml:space="preserve">Change a published shift by two hours</t>
        </is>
      </c>
      <c r="F157" s="14" t="inlineStr">
        <is>
          <t xml:space="preserve">Critical</t>
        </is>
      </c>
      <c r="G157" s="14" t="inlineStr">
        <is>
          <t xml:space="preserve">Medium</t>
        </is>
      </c>
      <c r="H157" s="14" t="inlineStr">
        <is>
          <t xml:space="preserve">Beta</t>
        </is>
      </c>
      <c r="I157" s="14" t="inlineStr">
        <is>
          <t xml:space="preserve">A draft rota exists; email and push providers are configured in staging.</t>
        </is>
      </c>
      <c r="J157" s="14" t="inlineStr">
        <is>
          <t xml:space="preserve">1. Prepare the stated preconditions and sign in with the required role.
2. Navigate to Rota lifecycle.
3. Execute: Change a published shift by two hours.
4. Refresh or reopen the relevant page and inspect persisted data.
5. Verify UI feedback, permissions, notifications and audit records where applicable.</t>
        </is>
      </c>
      <c r="K157" s="14" t="inlineStr">
        <is>
          <t xml:space="preserve">Draft, scheduled and published rotas; push/email preferences</t>
        </is>
      </c>
      <c r="L157" s="14" t="inlineStr">
        <is>
          <t xml:space="preserve">Employee sees the revised time and the change is distinguishable from the original.</t>
        </is>
      </c>
      <c r="M157" s="14" t="inlineStr">
        <is>
          <t xml:space="preserve">Candidate</t>
        </is>
      </c>
      <c r="N157" s="14" t="inlineStr">
        <is>
          <t xml:space="preserve">Yes</t>
        </is>
      </c>
      <c r="O157" s="14" t="inlineStr">
        <is>
          <t xml:space="preserve">Active</t>
        </is>
      </c>
      <c r="P157" s="14"/>
    </row>
    <row r="158">
      <c r="A158" s="14" t="inlineStr">
        <is>
          <t xml:space="preserve">RR-0158</t>
        </is>
      </c>
      <c r="B158" s="14" t="inlineStr">
        <is>
          <t xml:space="preserve">Publishing &amp; Notifications</t>
        </is>
      </c>
      <c r="C158" s="14" t="inlineStr">
        <is>
          <t xml:space="preserve">Rota lifecycle</t>
        </is>
      </c>
      <c r="D158" s="14" t="inlineStr">
        <is>
          <t xml:space="preserve">Compatibility</t>
        </is>
      </c>
      <c r="E158" s="14" t="inlineStr">
        <is>
          <t xml:space="preserve">Publish a rota spanning a daylight-saving transition</t>
        </is>
      </c>
      <c r="F158" s="14" t="inlineStr">
        <is>
          <t xml:space="preserve">High</t>
        </is>
      </c>
      <c r="G158" s="14" t="inlineStr">
        <is>
          <t xml:space="preserve">Medium</t>
        </is>
      </c>
      <c r="H158" s="14" t="inlineStr">
        <is>
          <t xml:space="preserve">Beta</t>
        </is>
      </c>
      <c r="I158" s="14" t="inlineStr">
        <is>
          <t xml:space="preserve">A draft rota exists; email and push providers are configured in staging.</t>
        </is>
      </c>
      <c r="J158" s="14" t="inlineStr">
        <is>
          <t xml:space="preserve">1. Prepare the stated preconditions and sign in with the required role.
2. Navigate to Rota lifecycle.
3. Execute: Publish a rota spanning a daylight-saving transition.
4. Refresh or reopen the relevant page and inspect persisted data.
5. Verify UI feedback, permissions, notifications and audit records where applicable.</t>
        </is>
      </c>
      <c r="K158" s="14" t="inlineStr">
        <is>
          <t xml:space="preserve">Draft, scheduled and published rotas; push/email preferences</t>
        </is>
      </c>
      <c r="L158" s="14" t="inlineStr">
        <is>
          <t xml:space="preserve">Dates and local shift times publish correctly.</t>
        </is>
      </c>
      <c r="M158" s="14" t="inlineStr">
        <is>
          <t xml:space="preserve">Candidate</t>
        </is>
      </c>
      <c r="N158" s="14" t="inlineStr">
        <is>
          <t xml:space="preserve">Yes</t>
        </is>
      </c>
      <c r="O158" s="14" t="inlineStr">
        <is>
          <t xml:space="preserve">Active</t>
        </is>
      </c>
      <c r="P158" s="14"/>
    </row>
    <row r="159">
      <c r="A159" s="14" t="inlineStr">
        <is>
          <t xml:space="preserve">RR-0159</t>
        </is>
      </c>
      <c r="B159" s="14" t="inlineStr">
        <is>
          <t xml:space="preserve">Publishing &amp; Notifications</t>
        </is>
      </c>
      <c r="C159" s="14" t="inlineStr">
        <is>
          <t xml:space="preserve">Rota lifecycle</t>
        </is>
      </c>
      <c r="D159" s="14" t="inlineStr">
        <is>
          <t xml:space="preserve">Functional</t>
        </is>
      </c>
      <c r="E159" s="14" t="inlineStr">
        <is>
          <t xml:space="preserve">Open historical published rota</t>
        </is>
      </c>
      <c r="F159" s="14" t="inlineStr">
        <is>
          <t xml:space="preserve">High</t>
        </is>
      </c>
      <c r="G159" s="14" t="inlineStr">
        <is>
          <t xml:space="preserve">Medium</t>
        </is>
      </c>
      <c r="H159" s="14" t="inlineStr">
        <is>
          <t xml:space="preserve">Beta</t>
        </is>
      </c>
      <c r="I159" s="14" t="inlineStr">
        <is>
          <t xml:space="preserve">A draft rota exists; email and push providers are configured in staging.</t>
        </is>
      </c>
      <c r="J159" s="14" t="inlineStr">
        <is>
          <t xml:space="preserve">1. Prepare the stated preconditions and sign in with the required role.
2. Navigate to Rota lifecycle.
3. Execute: Open historical published rota.
4. Refresh or reopen the relevant page and inspect persisted data.
5. Verify UI feedback, permissions, notifications and audit records where applicable.</t>
        </is>
      </c>
      <c r="K159" s="14" t="inlineStr">
        <is>
          <t xml:space="preserve">Draft, scheduled and published rotas; push/email preferences</t>
        </is>
      </c>
      <c r="L159" s="14" t="inlineStr">
        <is>
          <t xml:space="preserve">Published snapshot/history remains readable even after employee/location changes.</t>
        </is>
      </c>
      <c r="M159" s="14" t="inlineStr">
        <is>
          <t xml:space="preserve">Candidate</t>
        </is>
      </c>
      <c r="N159" s="14" t="inlineStr">
        <is>
          <t xml:space="preserve">Yes</t>
        </is>
      </c>
      <c r="O159" s="14" t="inlineStr">
        <is>
          <t xml:space="preserve">Active</t>
        </is>
      </c>
      <c r="P159" s="14"/>
    </row>
    <row r="160">
      <c r="A160" s="14" t="inlineStr">
        <is>
          <t xml:space="preserve">RR-0160</t>
        </is>
      </c>
      <c r="B160" s="14" t="inlineStr">
        <is>
          <t xml:space="preserve">Publishing &amp; Notifications</t>
        </is>
      </c>
      <c r="C160" s="14" t="inlineStr">
        <is>
          <t xml:space="preserve">Notification delivery</t>
        </is>
      </c>
      <c r="D160" s="14" t="inlineStr">
        <is>
          <t xml:space="preserve">Integration</t>
        </is>
      </c>
      <c r="E160" s="14" t="inlineStr">
        <is>
          <t xml:space="preserve">Send push and email on initial publication</t>
        </is>
      </c>
      <c r="F160" s="14" t="inlineStr">
        <is>
          <t xml:space="preserve">Critical</t>
        </is>
      </c>
      <c r="G160" s="14" t="inlineStr">
        <is>
          <t xml:space="preserve">Medium</t>
        </is>
      </c>
      <c r="H160" s="14" t="inlineStr">
        <is>
          <t xml:space="preserve">Beta</t>
        </is>
      </c>
      <c r="I160" s="14" t="inlineStr">
        <is>
          <t xml:space="preserve">A draft rota exists; email and push providers are configured in staging.</t>
        </is>
      </c>
      <c r="J160" s="14" t="inlineStr">
        <is>
          <t xml:space="preserve">1. Prepare the stated preconditions and sign in with the required role.
2. Navigate to Notification delivery.
3. Execute: Send push and email on initial publication.
4. Refresh or reopen the relevant page and inspect persisted data.
5. Verify UI feedback, permissions, notifications and audit records where applicable.</t>
        </is>
      </c>
      <c r="K160" s="14" t="inlineStr">
        <is>
          <t xml:space="preserve">Draft, scheduled and published rotas; push/email preferences</t>
        </is>
      </c>
      <c r="L160" s="14" t="inlineStr">
        <is>
          <t xml:space="preserve">Each eligible employee receives the configured channels once.</t>
        </is>
      </c>
      <c r="M160" s="14" t="inlineStr">
        <is>
          <t xml:space="preserve">Candidate</t>
        </is>
      </c>
      <c r="N160" s="14" t="inlineStr">
        <is>
          <t xml:space="preserve">Yes</t>
        </is>
      </c>
      <c r="O160" s="14" t="inlineStr">
        <is>
          <t xml:space="preserve">Active</t>
        </is>
      </c>
      <c r="P160" s="14"/>
    </row>
    <row r="161">
      <c r="A161" s="14" t="inlineStr">
        <is>
          <t xml:space="preserve">RR-0161</t>
        </is>
      </c>
      <c r="B161" s="14" t="inlineStr">
        <is>
          <t xml:space="preserve">Publishing &amp; Notifications</t>
        </is>
      </c>
      <c r="C161" s="14" t="inlineStr">
        <is>
          <t xml:space="preserve">Notification delivery</t>
        </is>
      </c>
      <c r="D161" s="14" t="inlineStr">
        <is>
          <t xml:space="preserve">Functional</t>
        </is>
      </c>
      <c r="E161" s="14" t="inlineStr">
        <is>
          <t xml:space="preserve">Employee has push disabled but email enabled</t>
        </is>
      </c>
      <c r="F161" s="14" t="inlineStr">
        <is>
          <t xml:space="preserve">High</t>
        </is>
      </c>
      <c r="G161" s="14" t="inlineStr">
        <is>
          <t xml:space="preserve">Medium</t>
        </is>
      </c>
      <c r="H161" s="14" t="inlineStr">
        <is>
          <t xml:space="preserve">Beta</t>
        </is>
      </c>
      <c r="I161" s="14" t="inlineStr">
        <is>
          <t xml:space="preserve">A draft rota exists; email and push providers are configured in staging.</t>
        </is>
      </c>
      <c r="J161" s="14" t="inlineStr">
        <is>
          <t xml:space="preserve">1. Prepare the stated preconditions and sign in with the required role.
2. Navigate to Notification delivery.
3. Execute: Employee has push disabled but email enabled.
4. Refresh or reopen the relevant page and inspect persisted data.
5. Verify UI feedback, permissions, notifications and audit records where applicable.</t>
        </is>
      </c>
      <c r="K161" s="14" t="inlineStr">
        <is>
          <t xml:space="preserve">Draft, scheduled and published rotas; push/email preferences</t>
        </is>
      </c>
      <c r="L161" s="14" t="inlineStr">
        <is>
          <t xml:space="preserve">Only email is sent.</t>
        </is>
      </c>
      <c r="M161" s="14" t="inlineStr">
        <is>
          <t xml:space="preserve">Candidate</t>
        </is>
      </c>
      <c r="N161" s="14" t="inlineStr">
        <is>
          <t xml:space="preserve">Yes</t>
        </is>
      </c>
      <c r="O161" s="14" t="inlineStr">
        <is>
          <t xml:space="preserve">Active</t>
        </is>
      </c>
      <c r="P161" s="14"/>
    </row>
    <row r="162">
      <c r="A162" s="14" t="inlineStr">
        <is>
          <t xml:space="preserve">RR-0162</t>
        </is>
      </c>
      <c r="B162" s="14" t="inlineStr">
        <is>
          <t xml:space="preserve">Publishing &amp; Notifications</t>
        </is>
      </c>
      <c r="C162" s="14" t="inlineStr">
        <is>
          <t xml:space="preserve">Notification delivery</t>
        </is>
      </c>
      <c r="D162" s="14" t="inlineStr">
        <is>
          <t xml:space="preserve">Functional</t>
        </is>
      </c>
      <c r="E162" s="14" t="inlineStr">
        <is>
          <t xml:space="preserve">Employee has email disabled but push enabled</t>
        </is>
      </c>
      <c r="F162" s="14" t="inlineStr">
        <is>
          <t xml:space="preserve">High</t>
        </is>
      </c>
      <c r="G162" s="14" t="inlineStr">
        <is>
          <t xml:space="preserve">Medium</t>
        </is>
      </c>
      <c r="H162" s="14" t="inlineStr">
        <is>
          <t xml:space="preserve">Beta</t>
        </is>
      </c>
      <c r="I162" s="14" t="inlineStr">
        <is>
          <t xml:space="preserve">A draft rota exists; email and push providers are configured in staging.</t>
        </is>
      </c>
      <c r="J162" s="14" t="inlineStr">
        <is>
          <t xml:space="preserve">1. Prepare the stated preconditions and sign in with the required role.
2. Navigate to Notification delivery.
3. Execute: Employee has email disabled but push enabled.
4. Refresh or reopen the relevant page and inspect persisted data.
5. Verify UI feedback, permissions, notifications and audit records where applicable.</t>
        </is>
      </c>
      <c r="K162" s="14" t="inlineStr">
        <is>
          <t xml:space="preserve">Draft, scheduled and published rotas; push/email preferences</t>
        </is>
      </c>
      <c r="L162" s="14" t="inlineStr">
        <is>
          <t xml:space="preserve">Only push is sent.</t>
        </is>
      </c>
      <c r="M162" s="14" t="inlineStr">
        <is>
          <t xml:space="preserve">Candidate</t>
        </is>
      </c>
      <c r="N162" s="14" t="inlineStr">
        <is>
          <t xml:space="preserve">Yes</t>
        </is>
      </c>
      <c r="O162" s="14" t="inlineStr">
        <is>
          <t xml:space="preserve">Active</t>
        </is>
      </c>
      <c r="P162" s="14"/>
    </row>
    <row r="163">
      <c r="A163" s="14" t="inlineStr">
        <is>
          <t xml:space="preserve">RR-0163</t>
        </is>
      </c>
      <c r="B163" s="14" t="inlineStr">
        <is>
          <t xml:space="preserve">Publishing &amp; Notifications</t>
        </is>
      </c>
      <c r="C163" s="14" t="inlineStr">
        <is>
          <t xml:space="preserve">Notification delivery</t>
        </is>
      </c>
      <c r="D163" s="14" t="inlineStr">
        <is>
          <t xml:space="preserve">Recovery</t>
        </is>
      </c>
      <c r="E163" s="14" t="inlineStr">
        <is>
          <t xml:space="preserve">Both channels are unavailable</t>
        </is>
      </c>
      <c r="F163" s="14" t="inlineStr">
        <is>
          <t xml:space="preserve">High</t>
        </is>
      </c>
      <c r="G163" s="14" t="inlineStr">
        <is>
          <t xml:space="preserve">Medium</t>
        </is>
      </c>
      <c r="H163" s="14" t="inlineStr">
        <is>
          <t xml:space="preserve">Beta</t>
        </is>
      </c>
      <c r="I163" s="14" t="inlineStr">
        <is>
          <t xml:space="preserve">A draft rota exists; email and push providers are configured in staging.</t>
        </is>
      </c>
      <c r="J163" s="14" t="inlineStr">
        <is>
          <t xml:space="preserve">1. Prepare the stated preconditions and sign in with the required role.
2. Navigate to Notification delivery.
3. Execute: Both channels are unavailable.
4. Refresh or reopen the relevant page and inspect persisted data.
5. Verify UI feedback, permissions, notifications and audit records where applicable.</t>
        </is>
      </c>
      <c r="K163" s="14" t="inlineStr">
        <is>
          <t xml:space="preserve">Draft, scheduled and published rotas; push/email preferences</t>
        </is>
      </c>
      <c r="L163" s="14" t="inlineStr">
        <is>
          <t xml:space="preserve">Failure is recorded and manager/admin can see delivery status or fallback guidance.</t>
        </is>
      </c>
      <c r="M163" s="14" t="inlineStr">
        <is>
          <t xml:space="preserve">Candidate</t>
        </is>
      </c>
      <c r="N163" s="14" t="inlineStr">
        <is>
          <t xml:space="preserve">Yes</t>
        </is>
      </c>
      <c r="O163" s="14" t="inlineStr">
        <is>
          <t xml:space="preserve">Active</t>
        </is>
      </c>
      <c r="P163" s="14"/>
    </row>
    <row r="164">
      <c r="A164" s="14" t="inlineStr">
        <is>
          <t xml:space="preserve">RR-0164</t>
        </is>
      </c>
      <c r="B164" s="14" t="inlineStr">
        <is>
          <t xml:space="preserve">Publishing &amp; Notifications</t>
        </is>
      </c>
      <c r="C164" s="14" t="inlineStr">
        <is>
          <t xml:space="preserve">Notification delivery</t>
        </is>
      </c>
      <c r="D164" s="14" t="inlineStr">
        <is>
          <t xml:space="preserve">Reliability</t>
        </is>
      </c>
      <c r="E164" s="14" t="inlineStr">
        <is>
          <t xml:space="preserve">Push provider returns a transient error</t>
        </is>
      </c>
      <c r="F164" s="14" t="inlineStr">
        <is>
          <t xml:space="preserve">High</t>
        </is>
      </c>
      <c r="G164" s="14" t="inlineStr">
        <is>
          <t xml:space="preserve">Medium</t>
        </is>
      </c>
      <c r="H164" s="14" t="inlineStr">
        <is>
          <t xml:space="preserve">Beta</t>
        </is>
      </c>
      <c r="I164" s="14" t="inlineStr">
        <is>
          <t xml:space="preserve">A draft rota exists; email and push providers are configured in staging.</t>
        </is>
      </c>
      <c r="J164" s="14" t="inlineStr">
        <is>
          <t xml:space="preserve">1. Prepare the stated preconditions and sign in with the required role.
2. Navigate to Notification delivery.
3. Execute: Push provider returns a transient error.
4. Refresh or reopen the relevant page and inspect persisted data.
5. Verify UI feedback, permissions, notifications and audit records where applicable.</t>
        </is>
      </c>
      <c r="K164" s="14" t="inlineStr">
        <is>
          <t xml:space="preserve">Draft, scheduled and published rotas; push/email preferences</t>
        </is>
      </c>
      <c r="L164" s="14" t="inlineStr">
        <is>
          <t xml:space="preserve">Delivery retries follow policy without duplicate visible notifications.</t>
        </is>
      </c>
      <c r="M164" s="14" t="inlineStr">
        <is>
          <t xml:space="preserve">Candidate</t>
        </is>
      </c>
      <c r="N164" s="14" t="inlineStr">
        <is>
          <t xml:space="preserve">Yes</t>
        </is>
      </c>
      <c r="O164" s="14" t="inlineStr">
        <is>
          <t xml:space="preserve">Active</t>
        </is>
      </c>
      <c r="P164" s="14"/>
    </row>
    <row r="165">
      <c r="A165" s="14" t="inlineStr">
        <is>
          <t xml:space="preserve">RR-0165</t>
        </is>
      </c>
      <c r="B165" s="14" t="inlineStr">
        <is>
          <t xml:space="preserve">Publishing &amp; Notifications</t>
        </is>
      </c>
      <c r="C165" s="14" t="inlineStr">
        <is>
          <t xml:space="preserve">Notification delivery</t>
        </is>
      </c>
      <c r="D165" s="14" t="inlineStr">
        <is>
          <t xml:space="preserve">Reliability</t>
        </is>
      </c>
      <c r="E165" s="14" t="inlineStr">
        <is>
          <t xml:space="preserve">Email provider rejects one recipient</t>
        </is>
      </c>
      <c r="F165" s="14" t="inlineStr">
        <is>
          <t xml:space="preserve">High</t>
        </is>
      </c>
      <c r="G165" s="14" t="inlineStr">
        <is>
          <t xml:space="preserve">Medium</t>
        </is>
      </c>
      <c r="H165" s="14" t="inlineStr">
        <is>
          <t xml:space="preserve">Beta</t>
        </is>
      </c>
      <c r="I165" s="14" t="inlineStr">
        <is>
          <t xml:space="preserve">A draft rota exists; email and push providers are configured in staging.</t>
        </is>
      </c>
      <c r="J165" s="14" t="inlineStr">
        <is>
          <t xml:space="preserve">1. Prepare the stated preconditions and sign in with the required role.
2. Navigate to Notification delivery.
3. Execute: Email provider rejects one recipient.
4. Refresh or reopen the relevant page and inspect persisted data.
5. Verify UI feedback, permissions, notifications and audit records where applicable.</t>
        </is>
      </c>
      <c r="K165" s="14" t="inlineStr">
        <is>
          <t xml:space="preserve">Draft, scheduled and published rotas; push/email preferences</t>
        </is>
      </c>
      <c r="L165" s="14" t="inlineStr">
        <is>
          <t xml:space="preserve">Other recipients continue and the failed recipient is clearly logged.</t>
        </is>
      </c>
      <c r="M165" s="14" t="inlineStr">
        <is>
          <t xml:space="preserve">Candidate</t>
        </is>
      </c>
      <c r="N165" s="14" t="inlineStr">
        <is>
          <t xml:space="preserve">Yes</t>
        </is>
      </c>
      <c r="O165" s="14" t="inlineStr">
        <is>
          <t xml:space="preserve">Active</t>
        </is>
      </c>
      <c r="P165" s="14"/>
    </row>
    <row r="166">
      <c r="A166" s="14" t="inlineStr">
        <is>
          <t xml:space="preserve">RR-0166</t>
        </is>
      </c>
      <c r="B166" s="14" t="inlineStr">
        <is>
          <t xml:space="preserve">Publishing &amp; Notifications</t>
        </is>
      </c>
      <c r="C166" s="14" t="inlineStr">
        <is>
          <t xml:space="preserve">Notification delivery</t>
        </is>
      </c>
      <c r="D166" s="14" t="inlineStr">
        <is>
          <t xml:space="preserve">Performance</t>
        </is>
      </c>
      <c r="E166" s="14" t="inlineStr">
        <is>
          <t xml:space="preserve">Publish a rota for 500 employees</t>
        </is>
      </c>
      <c r="F166" s="14" t="inlineStr">
        <is>
          <t xml:space="preserve">High</t>
        </is>
      </c>
      <c r="G166" s="14" t="inlineStr">
        <is>
          <t xml:space="preserve">Medium</t>
        </is>
      </c>
      <c r="H166" s="14" t="inlineStr">
        <is>
          <t xml:space="preserve">Beta</t>
        </is>
      </c>
      <c r="I166" s="14" t="inlineStr">
        <is>
          <t xml:space="preserve">A draft rota exists; email and push providers are configured in staging.</t>
        </is>
      </c>
      <c r="J166" s="14" t="inlineStr">
        <is>
          <t xml:space="preserve">1. Prepare the stated preconditions and sign in with the required role.
2. Navigate to Notification delivery.
3. Execute: Publish a rota for 500 employees.
4. Refresh or reopen the relevant page and inspect persisted data.
5. Verify UI feedback, permissions, notifications and audit records where applicable.</t>
        </is>
      </c>
      <c r="K166" s="14" t="inlineStr">
        <is>
          <t xml:space="preserve">Draft, scheduled and published rotas; push/email preferences</t>
        </is>
      </c>
      <c r="L166" s="14" t="inlineStr">
        <is>
          <t xml:space="preserve">Notifications are queued efficiently and the publish request remains responsive.</t>
        </is>
      </c>
      <c r="M166" s="14" t="inlineStr">
        <is>
          <t xml:space="preserve">Candidate</t>
        </is>
      </c>
      <c r="N166" s="14" t="inlineStr">
        <is>
          <t xml:space="preserve">Yes</t>
        </is>
      </c>
      <c r="O166" s="14" t="inlineStr">
        <is>
          <t xml:space="preserve">Active</t>
        </is>
      </c>
      <c r="P166" s="14"/>
    </row>
    <row r="167">
      <c r="A167" s="14" t="inlineStr">
        <is>
          <t xml:space="preserve">RR-0167</t>
        </is>
      </c>
      <c r="B167" s="14" t="inlineStr">
        <is>
          <t xml:space="preserve">Publishing &amp; Notifications</t>
        </is>
      </c>
      <c r="C167" s="14" t="inlineStr">
        <is>
          <t xml:space="preserve">Notification delivery</t>
        </is>
      </c>
      <c r="D167" s="14" t="inlineStr">
        <is>
          <t xml:space="preserve">Functional</t>
        </is>
      </c>
      <c r="E167" s="14" t="inlineStr">
        <is>
          <t xml:space="preserve">Affected employee receives a change notification</t>
        </is>
      </c>
      <c r="F167" s="14" t="inlineStr">
        <is>
          <t xml:space="preserve">Critical</t>
        </is>
      </c>
      <c r="G167" s="14" t="inlineStr">
        <is>
          <t xml:space="preserve">Medium</t>
        </is>
      </c>
      <c r="H167" s="14" t="inlineStr">
        <is>
          <t xml:space="preserve">Beta</t>
        </is>
      </c>
      <c r="I167" s="14" t="inlineStr">
        <is>
          <t xml:space="preserve">A draft rota exists; email and push providers are configured in staging.</t>
        </is>
      </c>
      <c r="J167" s="14" t="inlineStr">
        <is>
          <t xml:space="preserve">1. Prepare the stated preconditions and sign in with the required role.
2. Navigate to Notification delivery.
3. Execute: Affected employee receives a change notification.
4. Refresh or reopen the relevant page and inspect persisted data.
5. Verify UI feedback, permissions, notifications and audit records where applicable.</t>
        </is>
      </c>
      <c r="K167" s="14" t="inlineStr">
        <is>
          <t xml:space="preserve">Draft, scheduled and published rotas; push/email preferences</t>
        </is>
      </c>
      <c r="L167" s="14" t="inlineStr">
        <is>
          <t xml:space="preserve">Message contains location, date, old/new shift details and a safe app link.</t>
        </is>
      </c>
      <c r="M167" s="14" t="inlineStr">
        <is>
          <t xml:space="preserve">Candidate</t>
        </is>
      </c>
      <c r="N167" s="14" t="inlineStr">
        <is>
          <t xml:space="preserve">Yes</t>
        </is>
      </c>
      <c r="O167" s="14" t="inlineStr">
        <is>
          <t xml:space="preserve">Active</t>
        </is>
      </c>
      <c r="P167" s="14"/>
    </row>
    <row r="168">
      <c r="A168" s="14" t="inlineStr">
        <is>
          <t xml:space="preserve">RR-0168</t>
        </is>
      </c>
      <c r="B168" s="14" t="inlineStr">
        <is>
          <t xml:space="preserve">Publishing &amp; Notifications</t>
        </is>
      </c>
      <c r="C168" s="14" t="inlineStr">
        <is>
          <t xml:space="preserve">Notification delivery</t>
        </is>
      </c>
      <c r="D168" s="14" t="inlineStr">
        <is>
          <t xml:space="preserve">Functional</t>
        </is>
      </c>
      <c r="E168" s="14" t="inlineStr">
        <is>
          <t xml:space="preserve">Unaffected employee after a small edit</t>
        </is>
      </c>
      <c r="F168" s="14" t="inlineStr">
        <is>
          <t xml:space="preserve">High</t>
        </is>
      </c>
      <c r="G168" s="14" t="inlineStr">
        <is>
          <t xml:space="preserve">Medium</t>
        </is>
      </c>
      <c r="H168" s="14" t="inlineStr">
        <is>
          <t xml:space="preserve">Beta</t>
        </is>
      </c>
      <c r="I168" s="14" t="inlineStr">
        <is>
          <t xml:space="preserve">A draft rota exists; email and push providers are configured in staging.</t>
        </is>
      </c>
      <c r="J168" s="14" t="inlineStr">
        <is>
          <t xml:space="preserve">1. Prepare the stated preconditions and sign in with the required role.
2. Navigate to Notification delivery.
3. Execute: Unaffected employee after a small edit.
4. Refresh or reopen the relevant page and inspect persisted data.
5. Verify UI feedback, permissions, notifications and audit records where applicable.</t>
        </is>
      </c>
      <c r="K168" s="14" t="inlineStr">
        <is>
          <t xml:space="preserve">Draft, scheduled and published rotas; push/email preferences</t>
        </is>
      </c>
      <c r="L168" s="14" t="inlineStr">
        <is>
          <t xml:space="preserve">No unnecessary change notification is sent.</t>
        </is>
      </c>
      <c r="M168" s="14" t="inlineStr">
        <is>
          <t xml:space="preserve">Candidate</t>
        </is>
      </c>
      <c r="N168" s="14" t="inlineStr">
        <is>
          <t xml:space="preserve">Yes</t>
        </is>
      </c>
      <c r="O168" s="14" t="inlineStr">
        <is>
          <t xml:space="preserve">Active</t>
        </is>
      </c>
      <c r="P168" s="14"/>
    </row>
    <row r="169">
      <c r="A169" s="14" t="inlineStr">
        <is>
          <t xml:space="preserve">RR-0169</t>
        </is>
      </c>
      <c r="B169" s="14" t="inlineStr">
        <is>
          <t xml:space="preserve">Publishing &amp; Notifications</t>
        </is>
      </c>
      <c r="C169" s="14" t="inlineStr">
        <is>
          <t xml:space="preserve">Notification delivery</t>
        </is>
      </c>
      <c r="D169" s="14" t="inlineStr">
        <is>
          <t xml:space="preserve">Security</t>
        </is>
      </c>
      <c r="E169" s="14" t="inlineStr">
        <is>
          <t xml:space="preserve">Open a notification while signed out</t>
        </is>
      </c>
      <c r="F169" s="14" t="inlineStr">
        <is>
          <t xml:space="preserve">High</t>
        </is>
      </c>
      <c r="G169" s="14" t="inlineStr">
        <is>
          <t xml:space="preserve">Medium</t>
        </is>
      </c>
      <c r="H169" s="14" t="inlineStr">
        <is>
          <t xml:space="preserve">Beta</t>
        </is>
      </c>
      <c r="I169" s="14" t="inlineStr">
        <is>
          <t xml:space="preserve">A draft rota exists; email and push providers are configured in staging.</t>
        </is>
      </c>
      <c r="J169" s="14" t="inlineStr">
        <is>
          <t xml:space="preserve">1. Prepare the stated preconditions and sign in with the required role.
2. Navigate to Notification delivery.
3. Execute: Open a notification while signed out.
4. Refresh or reopen the relevant page and inspect persisted data.
5. Verify UI feedback, permissions, notifications and audit records where applicable.</t>
        </is>
      </c>
      <c r="K169" s="14" t="inlineStr">
        <is>
          <t xml:space="preserve">Draft, scheduled and published rotas; push/email preferences</t>
        </is>
      </c>
      <c r="L169" s="14" t="inlineStr">
        <is>
          <t xml:space="preserve">User is prompted to sign in and then returned to the intended shift/rota.</t>
        </is>
      </c>
      <c r="M169" s="14" t="inlineStr">
        <is>
          <t xml:space="preserve">Candidate</t>
        </is>
      </c>
      <c r="N169" s="14" t="inlineStr">
        <is>
          <t xml:space="preserve">Yes</t>
        </is>
      </c>
      <c r="O169" s="14" t="inlineStr">
        <is>
          <t xml:space="preserve">Active</t>
        </is>
      </c>
      <c r="P169" s="14"/>
    </row>
    <row r="170">
      <c r="A170" s="14" t="inlineStr">
        <is>
          <t xml:space="preserve">RR-0170</t>
        </is>
      </c>
      <c r="B170" s="14" t="inlineStr">
        <is>
          <t xml:space="preserve">Templates, Notes &amp; Export</t>
        </is>
      </c>
      <c r="C170" s="14" t="inlineStr">
        <is>
          <t xml:space="preserve">Rota templates</t>
        </is>
      </c>
      <c r="D170" s="14" t="inlineStr">
        <is>
          <t xml:space="preserve">Functional</t>
        </is>
      </c>
      <c r="E170" s="14" t="inlineStr">
        <is>
          <t xml:space="preserve">Save the current draft as a template</t>
        </is>
      </c>
      <c r="F170" s="14" t="inlineStr">
        <is>
          <t xml:space="preserve">High</t>
        </is>
      </c>
      <c r="G170" s="14" t="inlineStr">
        <is>
          <t xml:space="preserve">Medium</t>
        </is>
      </c>
      <c r="H170" s="14" t="inlineStr">
        <is>
          <t xml:space="preserve">Beta</t>
        </is>
      </c>
      <c r="I170" s="14" t="inlineStr">
        <is>
          <t xml:space="preserve">Manager account; populated rota with zones, notes and overnight shifts.</t>
        </is>
      </c>
      <c r="J170" s="14" t="inlineStr">
        <is>
          <t xml:space="preserve">1. Prepare the stated preconditions and sign in with the required role.
2. Navigate to Rota templates.
3. Execute: Save the current draft as a template.
4. Refresh or reopen the relevant page and inspect persisted data.
5. Verify UI feedback, permissions, notifications and audit records where applicable.</t>
        </is>
      </c>
      <c r="K170" s="14" t="inlineStr">
        <is>
          <t xml:space="preserve">Template weeks; private/public notes; PDF export</t>
        </is>
      </c>
      <c r="L170" s="14" t="inlineStr">
        <is>
          <t xml:space="preserve">Template stores reusable shift structure without binding to historical dates.</t>
        </is>
      </c>
      <c r="M170" s="14" t="inlineStr">
        <is>
          <t xml:space="preserve">Candidate</t>
        </is>
      </c>
      <c r="N170" s="14" t="inlineStr">
        <is>
          <t xml:space="preserve">Yes</t>
        </is>
      </c>
      <c r="O170" s="14" t="inlineStr">
        <is>
          <t xml:space="preserve">Active</t>
        </is>
      </c>
      <c r="P170" s="14"/>
    </row>
    <row r="171">
      <c r="A171" s="14" t="inlineStr">
        <is>
          <t xml:space="preserve">RR-0171</t>
        </is>
      </c>
      <c r="B171" s="14" t="inlineStr">
        <is>
          <t xml:space="preserve">Templates, Notes &amp; Export</t>
        </is>
      </c>
      <c r="C171" s="14" t="inlineStr">
        <is>
          <t xml:space="preserve">Rota templates</t>
        </is>
      </c>
      <c r="D171" s="14" t="inlineStr">
        <is>
          <t xml:space="preserve">Functional</t>
        </is>
      </c>
      <c r="E171" s="14" t="inlineStr">
        <is>
          <t xml:space="preserve">Apply a template to an empty week</t>
        </is>
      </c>
      <c r="F171" s="14" t="inlineStr">
        <is>
          <t xml:space="preserve">Critical</t>
        </is>
      </c>
      <c r="G171" s="14" t="inlineStr">
        <is>
          <t xml:space="preserve">Medium</t>
        </is>
      </c>
      <c r="H171" s="14" t="inlineStr">
        <is>
          <t xml:space="preserve">Beta</t>
        </is>
      </c>
      <c r="I171" s="14" t="inlineStr">
        <is>
          <t xml:space="preserve">Manager account; populated rota with zones, notes and overnight shifts.</t>
        </is>
      </c>
      <c r="J171" s="14" t="inlineStr">
        <is>
          <t xml:space="preserve">1. Prepare the stated preconditions and sign in with the required role.
2. Navigate to Rota templates.
3. Execute: Apply a template to an empty week.
4. Refresh or reopen the relevant page and inspect persisted data.
5. Verify UI feedback, permissions, notifications and audit records where applicable.</t>
        </is>
      </c>
      <c r="K171" s="14" t="inlineStr">
        <is>
          <t xml:space="preserve">Template weeks; private/public notes; PDF export</t>
        </is>
      </c>
      <c r="L171" s="14" t="inlineStr">
        <is>
          <t xml:space="preserve">Shifts map to the correct weekdays, zones and employee rules.</t>
        </is>
      </c>
      <c r="M171" s="14" t="inlineStr">
        <is>
          <t xml:space="preserve">Candidate</t>
        </is>
      </c>
      <c r="N171" s="14" t="inlineStr">
        <is>
          <t xml:space="preserve">Yes</t>
        </is>
      </c>
      <c r="O171" s="14" t="inlineStr">
        <is>
          <t xml:space="preserve">Active</t>
        </is>
      </c>
      <c r="P171" s="14"/>
    </row>
    <row r="172">
      <c r="A172" s="14" t="inlineStr">
        <is>
          <t xml:space="preserve">RR-0172</t>
        </is>
      </c>
      <c r="B172" s="14" t="inlineStr">
        <is>
          <t xml:space="preserve">Templates, Notes &amp; Export</t>
        </is>
      </c>
      <c r="C172" s="14" t="inlineStr">
        <is>
          <t xml:space="preserve">Rota templates</t>
        </is>
      </c>
      <c r="D172" s="14" t="inlineStr">
        <is>
          <t xml:space="preserve">Functional</t>
        </is>
      </c>
      <c r="E172" s="14" t="inlineStr">
        <is>
          <t xml:space="preserve">Apply a template to a populated week</t>
        </is>
      </c>
      <c r="F172" s="14" t="inlineStr">
        <is>
          <t xml:space="preserve">Critical</t>
        </is>
      </c>
      <c r="G172" s="14" t="inlineStr">
        <is>
          <t xml:space="preserve">Medium</t>
        </is>
      </c>
      <c r="H172" s="14" t="inlineStr">
        <is>
          <t xml:space="preserve">Beta</t>
        </is>
      </c>
      <c r="I172" s="14" t="inlineStr">
        <is>
          <t xml:space="preserve">Manager account; populated rota with zones, notes and overnight shifts.</t>
        </is>
      </c>
      <c r="J172" s="14" t="inlineStr">
        <is>
          <t xml:space="preserve">1. Prepare the stated preconditions and sign in with the required role.
2. Navigate to Rota templates.
3. Execute: Apply a template to a populated week.
4. Refresh or reopen the relevant page and inspect persisted data.
5. Verify UI feedback, permissions, notifications and audit records where applicable.</t>
        </is>
      </c>
      <c r="K172" s="14" t="inlineStr">
        <is>
          <t xml:space="preserve">Template weeks; private/public notes; PDF export</t>
        </is>
      </c>
      <c r="L172" s="14" t="inlineStr">
        <is>
          <t xml:space="preserve">The user must choose merge/replace/cancel and the selected behaviour is exact.</t>
        </is>
      </c>
      <c r="M172" s="14" t="inlineStr">
        <is>
          <t xml:space="preserve">Candidate</t>
        </is>
      </c>
      <c r="N172" s="14" t="inlineStr">
        <is>
          <t xml:space="preserve">Yes</t>
        </is>
      </c>
      <c r="O172" s="14" t="inlineStr">
        <is>
          <t xml:space="preserve">Active</t>
        </is>
      </c>
      <c r="P172" s="14"/>
    </row>
    <row r="173">
      <c r="A173" s="14" t="inlineStr">
        <is>
          <t xml:space="preserve">RR-0173</t>
        </is>
      </c>
      <c r="B173" s="14" t="inlineStr">
        <is>
          <t xml:space="preserve">Templates, Notes &amp; Export</t>
        </is>
      </c>
      <c r="C173" s="14" t="inlineStr">
        <is>
          <t xml:space="preserve">Rota templates</t>
        </is>
      </c>
      <c r="D173" s="14" t="inlineStr">
        <is>
          <t xml:space="preserve">Functional</t>
        </is>
      </c>
      <c r="E173" s="14" t="inlineStr">
        <is>
          <t xml:space="preserve">Edit a template name and contents</t>
        </is>
      </c>
      <c r="F173" s="14" t="inlineStr">
        <is>
          <t xml:space="preserve">Medium</t>
        </is>
      </c>
      <c r="G173" s="14" t="inlineStr">
        <is>
          <t xml:space="preserve">Medium</t>
        </is>
      </c>
      <c r="H173" s="14" t="inlineStr">
        <is>
          <t xml:space="preserve">Beta</t>
        </is>
      </c>
      <c r="I173" s="14" t="inlineStr">
        <is>
          <t xml:space="preserve">Manager account; populated rota with zones, notes and overnight shifts.</t>
        </is>
      </c>
      <c r="J173" s="14" t="inlineStr">
        <is>
          <t xml:space="preserve">1. Prepare the stated preconditions and sign in with the required role.
2. Navigate to Rota templates.
3. Execute: Edit a template name and contents.
4. Refresh or reopen the relevant page and inspect persisted data.
5. Verify UI feedback, permissions, notifications and audit records where applicable.</t>
        </is>
      </c>
      <c r="K173" s="14" t="inlineStr">
        <is>
          <t xml:space="preserve">Template weeks; private/public notes; PDF export</t>
        </is>
      </c>
      <c r="L173" s="14" t="inlineStr">
        <is>
          <t xml:space="preserve">Future applications use the new template; previous rotas remain unchanged.</t>
        </is>
      </c>
      <c r="M173" s="14" t="inlineStr">
        <is>
          <t xml:space="preserve">Candidate</t>
        </is>
      </c>
      <c r="N173" s="14" t="inlineStr">
        <is>
          <t xml:space="preserve">No</t>
        </is>
      </c>
      <c r="O173" s="14" t="inlineStr">
        <is>
          <t xml:space="preserve">Active</t>
        </is>
      </c>
      <c r="P173" s="14"/>
    </row>
    <row r="174">
      <c r="A174" s="14" t="inlineStr">
        <is>
          <t xml:space="preserve">RR-0174</t>
        </is>
      </c>
      <c r="B174" s="14" t="inlineStr">
        <is>
          <t xml:space="preserve">Templates, Notes &amp; Export</t>
        </is>
      </c>
      <c r="C174" s="14" t="inlineStr">
        <is>
          <t xml:space="preserve">Rota templates</t>
        </is>
      </c>
      <c r="D174" s="14" t="inlineStr">
        <is>
          <t xml:space="preserve">Functional</t>
        </is>
      </c>
      <c r="E174" s="14" t="inlineStr">
        <is>
          <t xml:space="preserve">Delete a template</t>
        </is>
      </c>
      <c r="F174" s="14" t="inlineStr">
        <is>
          <t xml:space="preserve">Medium</t>
        </is>
      </c>
      <c r="G174" s="14" t="inlineStr">
        <is>
          <t xml:space="preserve">Medium</t>
        </is>
      </c>
      <c r="H174" s="14" t="inlineStr">
        <is>
          <t xml:space="preserve">Beta</t>
        </is>
      </c>
      <c r="I174" s="14" t="inlineStr">
        <is>
          <t xml:space="preserve">Manager account; populated rota with zones, notes and overnight shifts.</t>
        </is>
      </c>
      <c r="J174" s="14" t="inlineStr">
        <is>
          <t xml:space="preserve">1. Prepare the stated preconditions and sign in with the required role.
2. Navigate to Rota templates.
3. Execute: Delete a template.
4. Refresh or reopen the relevant page and inspect persisted data.
5. Verify UI feedback, permissions, notifications and audit records where applicable.</t>
        </is>
      </c>
      <c r="K174" s="14" t="inlineStr">
        <is>
          <t xml:space="preserve">Template weeks; private/public notes; PDF export</t>
        </is>
      </c>
      <c r="L174" s="14" t="inlineStr">
        <is>
          <t xml:space="preserve">Template is removed after confirmation without altering rotas created from it.</t>
        </is>
      </c>
      <c r="M174" s="14" t="inlineStr">
        <is>
          <t xml:space="preserve">Candidate</t>
        </is>
      </c>
      <c r="N174" s="14" t="inlineStr">
        <is>
          <t xml:space="preserve">No</t>
        </is>
      </c>
      <c r="O174" s="14" t="inlineStr">
        <is>
          <t xml:space="preserve">Active</t>
        </is>
      </c>
      <c r="P174" s="14"/>
    </row>
    <row r="175">
      <c r="A175" s="14" t="inlineStr">
        <is>
          <t xml:space="preserve">RR-0175</t>
        </is>
      </c>
      <c r="B175" s="14" t="inlineStr">
        <is>
          <t xml:space="preserve">Templates, Notes &amp; Export</t>
        </is>
      </c>
      <c r="C175" s="14" t="inlineStr">
        <is>
          <t xml:space="preserve">Rota templates</t>
        </is>
      </c>
      <c r="D175" s="14" t="inlineStr">
        <is>
          <t xml:space="preserve">Security</t>
        </is>
      </c>
      <c r="E175" s="14" t="inlineStr">
        <is>
          <t xml:space="preserve">Location manager opens another location's template</t>
        </is>
      </c>
      <c r="F175" s="14" t="inlineStr">
        <is>
          <t xml:space="preserve">Critical</t>
        </is>
      </c>
      <c r="G175" s="14" t="inlineStr">
        <is>
          <t xml:space="preserve">Medium</t>
        </is>
      </c>
      <c r="H175" s="14" t="inlineStr">
        <is>
          <t xml:space="preserve">Beta</t>
        </is>
      </c>
      <c r="I175" s="14" t="inlineStr">
        <is>
          <t xml:space="preserve">Manager account; populated rota with zones, notes and overnight shifts.</t>
        </is>
      </c>
      <c r="J175" s="14" t="inlineStr">
        <is>
          <t xml:space="preserve">1. Prepare the stated preconditions and sign in with the required role.
2. Navigate to Rota templates.
3. Execute: Location manager opens another location's template.
4. Refresh or reopen the relevant page and inspect persisted data.
5. Verify UI feedback, permissions, notifications and audit records where applicable.</t>
        </is>
      </c>
      <c r="K175" s="14" t="inlineStr">
        <is>
          <t xml:space="preserve">Template weeks; private/public notes; PDF export</t>
        </is>
      </c>
      <c r="L175" s="14" t="inlineStr">
        <is>
          <t xml:space="preserve">Unauthorised template is not visible or accessible.</t>
        </is>
      </c>
      <c r="M175" s="14" t="inlineStr">
        <is>
          <t xml:space="preserve">Candidate</t>
        </is>
      </c>
      <c r="N175" s="14" t="inlineStr">
        <is>
          <t xml:space="preserve">Yes</t>
        </is>
      </c>
      <c r="O175" s="14" t="inlineStr">
        <is>
          <t xml:space="preserve">Active</t>
        </is>
      </c>
      <c r="P175" s="14"/>
    </row>
    <row r="176">
      <c r="A176" s="14" t="inlineStr">
        <is>
          <t xml:space="preserve">RR-0176</t>
        </is>
      </c>
      <c r="B176" s="14" t="inlineStr">
        <is>
          <t xml:space="preserve">Templates, Notes &amp; Export</t>
        </is>
      </c>
      <c r="C176" s="14" t="inlineStr">
        <is>
          <t xml:space="preserve">Notes and exports</t>
        </is>
      </c>
      <c r="D176" s="14" t="inlineStr">
        <is>
          <t xml:space="preserve">Functional</t>
        </is>
      </c>
      <c r="E176" s="14" t="inlineStr">
        <is>
          <t xml:space="preserve">Add an employee-visible shift note</t>
        </is>
      </c>
      <c r="F176" s="14" t="inlineStr">
        <is>
          <t xml:space="preserve">High</t>
        </is>
      </c>
      <c r="G176" s="14" t="inlineStr">
        <is>
          <t xml:space="preserve">Medium</t>
        </is>
      </c>
      <c r="H176" s="14" t="inlineStr">
        <is>
          <t xml:space="preserve">Beta</t>
        </is>
      </c>
      <c r="I176" s="14" t="inlineStr">
        <is>
          <t xml:space="preserve">Manager account; populated rota with zones, notes and overnight shifts.</t>
        </is>
      </c>
      <c r="J176" s="14" t="inlineStr">
        <is>
          <t xml:space="preserve">1. Prepare the stated preconditions and sign in with the required role.
2. Navigate to Notes and exports.
3. Execute: Add an employee-visible shift note.
4. Refresh or reopen the relevant page and inspect persisted data.
5. Verify UI feedback, permissions, notifications and audit records where applicable.</t>
        </is>
      </c>
      <c r="K176" s="14" t="inlineStr">
        <is>
          <t xml:space="preserve">Template weeks; private/public notes; PDF export</t>
        </is>
      </c>
      <c r="L176" s="14" t="inlineStr">
        <is>
          <t xml:space="preserve">The note appears on the employee's shift and relevant notification/export.</t>
        </is>
      </c>
      <c r="M176" s="14" t="inlineStr">
        <is>
          <t xml:space="preserve">Candidate</t>
        </is>
      </c>
      <c r="N176" s="14" t="inlineStr">
        <is>
          <t xml:space="preserve">Yes</t>
        </is>
      </c>
      <c r="O176" s="14" t="inlineStr">
        <is>
          <t xml:space="preserve">Active</t>
        </is>
      </c>
      <c r="P176" s="14"/>
    </row>
    <row r="177">
      <c r="A177" s="14" t="inlineStr">
        <is>
          <t xml:space="preserve">RR-0177</t>
        </is>
      </c>
      <c r="B177" s="14" t="inlineStr">
        <is>
          <t xml:space="preserve">Templates, Notes &amp; Export</t>
        </is>
      </c>
      <c r="C177" s="14" t="inlineStr">
        <is>
          <t xml:space="preserve">Notes and exports</t>
        </is>
      </c>
      <c r="D177" s="14" t="inlineStr">
        <is>
          <t xml:space="preserve">Security</t>
        </is>
      </c>
      <c r="E177" s="14" t="inlineStr">
        <is>
          <t xml:space="preserve">Add a private manager note</t>
        </is>
      </c>
      <c r="F177" s="14" t="inlineStr">
        <is>
          <t xml:space="preserve">Critical</t>
        </is>
      </c>
      <c r="G177" s="14" t="inlineStr">
        <is>
          <t xml:space="preserve">Medium</t>
        </is>
      </c>
      <c r="H177" s="14" t="inlineStr">
        <is>
          <t xml:space="preserve">Beta</t>
        </is>
      </c>
      <c r="I177" s="14" t="inlineStr">
        <is>
          <t xml:space="preserve">Manager account; populated rota with zones, notes and overnight shifts.</t>
        </is>
      </c>
      <c r="J177" s="14" t="inlineStr">
        <is>
          <t xml:space="preserve">1. Prepare the stated preconditions and sign in with the required role.
2. Navigate to Notes and exports.
3. Execute: Add a private manager note.
4. Refresh or reopen the relevant page and inspect persisted data.
5. Verify UI feedback, permissions, notifications and audit records where applicable.</t>
        </is>
      </c>
      <c r="K177" s="14" t="inlineStr">
        <is>
          <t xml:space="preserve">Template weeks; private/public notes; PDF export</t>
        </is>
      </c>
      <c r="L177" s="14" t="inlineStr">
        <is>
          <t xml:space="preserve">The note is visible only to authorised managers and excluded from employee outputs.</t>
        </is>
      </c>
      <c r="M177" s="14" t="inlineStr">
        <is>
          <t xml:space="preserve">Candidate</t>
        </is>
      </c>
      <c r="N177" s="14" t="inlineStr">
        <is>
          <t xml:space="preserve">Yes</t>
        </is>
      </c>
      <c r="O177" s="14" t="inlineStr">
        <is>
          <t xml:space="preserve">Active</t>
        </is>
      </c>
      <c r="P177" s="14"/>
    </row>
    <row r="178">
      <c r="A178" s="14" t="inlineStr">
        <is>
          <t xml:space="preserve">RR-0178</t>
        </is>
      </c>
      <c r="B178" s="14" t="inlineStr">
        <is>
          <t xml:space="preserve">Templates, Notes &amp; Export</t>
        </is>
      </c>
      <c r="C178" s="14" t="inlineStr">
        <is>
          <t xml:space="preserve">Notes and exports</t>
        </is>
      </c>
      <c r="D178" s="14" t="inlineStr">
        <is>
          <t xml:space="preserve">Functional</t>
        </is>
      </c>
      <c r="E178" s="14" t="inlineStr">
        <is>
          <t xml:space="preserve">Add a week-level rota note</t>
        </is>
      </c>
      <c r="F178" s="14" t="inlineStr">
        <is>
          <t xml:space="preserve">Medium</t>
        </is>
      </c>
      <c r="G178" s="14" t="inlineStr">
        <is>
          <t xml:space="preserve">Medium</t>
        </is>
      </c>
      <c r="H178" s="14" t="inlineStr">
        <is>
          <t xml:space="preserve">Beta</t>
        </is>
      </c>
      <c r="I178" s="14" t="inlineStr">
        <is>
          <t xml:space="preserve">Manager account; populated rota with zones, notes and overnight shifts.</t>
        </is>
      </c>
      <c r="J178" s="14" t="inlineStr">
        <is>
          <t xml:space="preserve">1. Prepare the stated preconditions and sign in with the required role.
2. Navigate to Notes and exports.
3. Execute: Add a week-level rota note.
4. Refresh or reopen the relevant page and inspect persisted data.
5. Verify UI feedback, permissions, notifications and audit records where applicable.</t>
        </is>
      </c>
      <c r="K178" s="14" t="inlineStr">
        <is>
          <t xml:space="preserve">Template weeks; private/public notes; PDF export</t>
        </is>
      </c>
      <c r="L178" s="14" t="inlineStr">
        <is>
          <t xml:space="preserve">Note displays in the intended manager/employee surfaces according to visibility.</t>
        </is>
      </c>
      <c r="M178" s="14" t="inlineStr">
        <is>
          <t xml:space="preserve">Candidate</t>
        </is>
      </c>
      <c r="N178" s="14" t="inlineStr">
        <is>
          <t xml:space="preserve">No</t>
        </is>
      </c>
      <c r="O178" s="14" t="inlineStr">
        <is>
          <t xml:space="preserve">Active</t>
        </is>
      </c>
      <c r="P178" s="14"/>
    </row>
    <row r="179">
      <c r="A179" s="14" t="inlineStr">
        <is>
          <t xml:space="preserve">RR-0179</t>
        </is>
      </c>
      <c r="B179" s="14" t="inlineStr">
        <is>
          <t xml:space="preserve">Templates, Notes &amp; Export</t>
        </is>
      </c>
      <c r="C179" s="14" t="inlineStr">
        <is>
          <t xml:space="preserve">Notes and exports</t>
        </is>
      </c>
      <c r="D179" s="14" t="inlineStr">
        <is>
          <t xml:space="preserve">Integration</t>
        </is>
      </c>
      <c r="E179" s="14" t="inlineStr">
        <is>
          <t xml:space="preserve">Export a rota to PDF</t>
        </is>
      </c>
      <c r="F179" s="14" t="inlineStr">
        <is>
          <t xml:space="preserve">Critical</t>
        </is>
      </c>
      <c r="G179" s="14" t="inlineStr">
        <is>
          <t xml:space="preserve">Medium</t>
        </is>
      </c>
      <c r="H179" s="14" t="inlineStr">
        <is>
          <t xml:space="preserve">Beta</t>
        </is>
      </c>
      <c r="I179" s="14" t="inlineStr">
        <is>
          <t xml:space="preserve">Manager account; populated rota with zones, notes and overnight shifts.</t>
        </is>
      </c>
      <c r="J179" s="14" t="inlineStr">
        <is>
          <t xml:space="preserve">1. Prepare the stated preconditions and sign in with the required role.
2. Navigate to Notes and exports.
3. Execute: Export a rota to PDF.
4. Refresh or reopen the relevant page and inspect persisted data.
5. Verify UI feedback, permissions, notifications and audit records where applicable.</t>
        </is>
      </c>
      <c r="K179" s="14" t="inlineStr">
        <is>
          <t xml:space="preserve">Template weeks; private/public notes; PDF export</t>
        </is>
      </c>
      <c r="L179" s="14" t="inlineStr">
        <is>
          <t xml:space="preserve">PDF contains branding, location, week, zones, shifts and readable totals.</t>
        </is>
      </c>
      <c r="M179" s="14" t="inlineStr">
        <is>
          <t xml:space="preserve">Candidate</t>
        </is>
      </c>
      <c r="N179" s="14" t="inlineStr">
        <is>
          <t xml:space="preserve">Yes</t>
        </is>
      </c>
      <c r="O179" s="14" t="inlineStr">
        <is>
          <t xml:space="preserve">Active</t>
        </is>
      </c>
      <c r="P179" s="14"/>
    </row>
    <row r="180">
      <c r="A180" s="14" t="inlineStr">
        <is>
          <t xml:space="preserve">RR-0180</t>
        </is>
      </c>
      <c r="B180" s="14" t="inlineStr">
        <is>
          <t xml:space="preserve">Templates, Notes &amp; Export</t>
        </is>
      </c>
      <c r="C180" s="14" t="inlineStr">
        <is>
          <t xml:space="preserve">Notes and exports</t>
        </is>
      </c>
      <c r="D180" s="14" t="inlineStr">
        <is>
          <t xml:space="preserve">Functional</t>
        </is>
      </c>
      <c r="E180" s="14" t="inlineStr">
        <is>
          <t xml:space="preserve">Export only selected zones</t>
        </is>
      </c>
      <c r="F180" s="14" t="inlineStr">
        <is>
          <t xml:space="preserve">High</t>
        </is>
      </c>
      <c r="G180" s="14" t="inlineStr">
        <is>
          <t xml:space="preserve">Medium</t>
        </is>
      </c>
      <c r="H180" s="14" t="inlineStr">
        <is>
          <t xml:space="preserve">Beta</t>
        </is>
      </c>
      <c r="I180" s="14" t="inlineStr">
        <is>
          <t xml:space="preserve">Manager account; populated rota with zones, notes and overnight shifts.</t>
        </is>
      </c>
      <c r="J180" s="14" t="inlineStr">
        <is>
          <t xml:space="preserve">1. Prepare the stated preconditions and sign in with the required role.
2. Navigate to Notes and exports.
3. Execute: Export only selected zones.
4. Refresh or reopen the relevant page and inspect persisted data.
5. Verify UI feedback, permissions, notifications and audit records where applicable.</t>
        </is>
      </c>
      <c r="K180" s="14" t="inlineStr">
        <is>
          <t xml:space="preserve">Template weeks; private/public notes; PDF export</t>
        </is>
      </c>
      <c r="L180" s="14" t="inlineStr">
        <is>
          <t xml:space="preserve">PDF includes exactly the selected zones and recalculated totals.</t>
        </is>
      </c>
      <c r="M180" s="14" t="inlineStr">
        <is>
          <t xml:space="preserve">Candidate</t>
        </is>
      </c>
      <c r="N180" s="14" t="inlineStr">
        <is>
          <t xml:space="preserve">Yes</t>
        </is>
      </c>
      <c r="O180" s="14" t="inlineStr">
        <is>
          <t xml:space="preserve">Active</t>
        </is>
      </c>
      <c r="P180" s="14"/>
    </row>
    <row r="181">
      <c r="A181" s="14" t="inlineStr">
        <is>
          <t xml:space="preserve">RR-0181</t>
        </is>
      </c>
      <c r="B181" s="14" t="inlineStr">
        <is>
          <t xml:space="preserve">Templates, Notes &amp; Export</t>
        </is>
      </c>
      <c r="C181" s="14" t="inlineStr">
        <is>
          <t xml:space="preserve">Notes and exports</t>
        </is>
      </c>
      <c r="D181" s="14" t="inlineStr">
        <is>
          <t xml:space="preserve">Functional</t>
        </is>
      </c>
      <c r="E181" s="14" t="inlineStr">
        <is>
          <t xml:space="preserve">Export overnight and split shifts</t>
        </is>
      </c>
      <c r="F181" s="14" t="inlineStr">
        <is>
          <t xml:space="preserve">High</t>
        </is>
      </c>
      <c r="G181" s="14" t="inlineStr">
        <is>
          <t xml:space="preserve">Medium</t>
        </is>
      </c>
      <c r="H181" s="14" t="inlineStr">
        <is>
          <t xml:space="preserve">Beta</t>
        </is>
      </c>
      <c r="I181" s="14" t="inlineStr">
        <is>
          <t xml:space="preserve">Manager account; populated rota with zones, notes and overnight shifts.</t>
        </is>
      </c>
      <c r="J181" s="14" t="inlineStr">
        <is>
          <t xml:space="preserve">1. Prepare the stated preconditions and sign in with the required role.
2. Navigate to Notes and exports.
3. Execute: Export overnight and split shifts.
4. Refresh or reopen the relevant page and inspect persisted data.
5. Verify UI feedback, permissions, notifications and audit records where applicable.</t>
        </is>
      </c>
      <c r="K181" s="14" t="inlineStr">
        <is>
          <t xml:space="preserve">Template weeks; private/public notes; PDF export</t>
        </is>
      </c>
      <c r="L181" s="14" t="inlineStr">
        <is>
          <t xml:space="preserve">All segments and next-day endings are represented unambiguously.</t>
        </is>
      </c>
      <c r="M181" s="14" t="inlineStr">
        <is>
          <t xml:space="preserve">Candidate</t>
        </is>
      </c>
      <c r="N181" s="14" t="inlineStr">
        <is>
          <t xml:space="preserve">Yes</t>
        </is>
      </c>
      <c r="O181" s="14" t="inlineStr">
        <is>
          <t xml:space="preserve">Active</t>
        </is>
      </c>
      <c r="P181" s="14"/>
    </row>
    <row r="182">
      <c r="A182" s="14" t="inlineStr">
        <is>
          <t xml:space="preserve">RR-0182</t>
        </is>
      </c>
      <c r="B182" s="14" t="inlineStr">
        <is>
          <t xml:space="preserve">Templates, Notes &amp; Export</t>
        </is>
      </c>
      <c r="C182" s="14" t="inlineStr">
        <is>
          <t xml:space="preserve">Notes and exports</t>
        </is>
      </c>
      <c r="D182" s="14" t="inlineStr">
        <is>
          <t xml:space="preserve">Compatibility</t>
        </is>
      </c>
      <c r="E182" s="14" t="inlineStr">
        <is>
          <t xml:space="preserve">Export a large rota across multiple pages</t>
        </is>
      </c>
      <c r="F182" s="14" t="inlineStr">
        <is>
          <t xml:space="preserve">High</t>
        </is>
      </c>
      <c r="G182" s="14" t="inlineStr">
        <is>
          <t xml:space="preserve">Medium</t>
        </is>
      </c>
      <c r="H182" s="14" t="inlineStr">
        <is>
          <t xml:space="preserve">Beta</t>
        </is>
      </c>
      <c r="I182" s="14" t="inlineStr">
        <is>
          <t xml:space="preserve">Manager account; populated rota with zones, notes and overnight shifts.</t>
        </is>
      </c>
      <c r="J182" s="14" t="inlineStr">
        <is>
          <t xml:space="preserve">1. Prepare the stated preconditions and sign in with the required role.
2. Navigate to Notes and exports.
3. Execute: Export a large rota across multiple pages.
4. Refresh or reopen the relevant page and inspect persisted data.
5. Verify UI feedback, permissions, notifications and audit records where applicable.</t>
        </is>
      </c>
      <c r="K182" s="14" t="inlineStr">
        <is>
          <t xml:space="preserve">Template weeks; private/public notes; PDF export</t>
        </is>
      </c>
      <c r="L182" s="14" t="inlineStr">
        <is>
          <t xml:space="preserve">Headers repeat, content is not clipped and page breaks are sensible.</t>
        </is>
      </c>
      <c r="M182" s="14" t="inlineStr">
        <is>
          <t xml:space="preserve">Candidate</t>
        </is>
      </c>
      <c r="N182" s="14" t="inlineStr">
        <is>
          <t xml:space="preserve">Yes</t>
        </is>
      </c>
      <c r="O182" s="14" t="inlineStr">
        <is>
          <t xml:space="preserve">Active</t>
        </is>
      </c>
      <c r="P182" s="14"/>
    </row>
    <row r="183">
      <c r="A183" s="14" t="inlineStr">
        <is>
          <t xml:space="preserve">RR-0183</t>
        </is>
      </c>
      <c r="B183" s="14" t="inlineStr">
        <is>
          <t xml:space="preserve">Templates, Notes &amp; Export</t>
        </is>
      </c>
      <c r="C183" s="14" t="inlineStr">
        <is>
          <t xml:space="preserve">Notes and exports</t>
        </is>
      </c>
      <c r="D183" s="14" t="inlineStr">
        <is>
          <t xml:space="preserve">Compatibility</t>
        </is>
      </c>
      <c r="E183" s="14" t="inlineStr">
        <is>
          <t xml:space="preserve">Export names containing accents/apostrophes</t>
        </is>
      </c>
      <c r="F183" s="14" t="inlineStr">
        <is>
          <t xml:space="preserve">Medium</t>
        </is>
      </c>
      <c r="G183" s="14" t="inlineStr">
        <is>
          <t xml:space="preserve">Medium</t>
        </is>
      </c>
      <c r="H183" s="14" t="inlineStr">
        <is>
          <t xml:space="preserve">Beta</t>
        </is>
      </c>
      <c r="I183" s="14" t="inlineStr">
        <is>
          <t xml:space="preserve">Manager account; populated rota with zones, notes and overnight shifts.</t>
        </is>
      </c>
      <c r="J183" s="14" t="inlineStr">
        <is>
          <t xml:space="preserve">1. Prepare the stated preconditions and sign in with the required role.
2. Navigate to Notes and exports.
3. Execute: Export names containing accents/apostrophes.
4. Refresh or reopen the relevant page and inspect persisted data.
5. Verify UI feedback, permissions, notifications and audit records where applicable.</t>
        </is>
      </c>
      <c r="K183" s="14" t="inlineStr">
        <is>
          <t xml:space="preserve">Template weeks; private/public notes; PDF export</t>
        </is>
      </c>
      <c r="L183" s="14" t="inlineStr">
        <is>
          <t xml:space="preserve">Unicode characters render correctly.</t>
        </is>
      </c>
      <c r="M183" s="14" t="inlineStr">
        <is>
          <t xml:space="preserve">Candidate</t>
        </is>
      </c>
      <c r="N183" s="14" t="inlineStr">
        <is>
          <t xml:space="preserve">No</t>
        </is>
      </c>
      <c r="O183" s="14" t="inlineStr">
        <is>
          <t xml:space="preserve">Active</t>
        </is>
      </c>
      <c r="P183" s="14"/>
    </row>
    <row r="184">
      <c r="A184" s="14" t="inlineStr">
        <is>
          <t xml:space="preserve">RR-0184</t>
        </is>
      </c>
      <c r="B184" s="14" t="inlineStr">
        <is>
          <t xml:space="preserve">Templates, Notes &amp; Export</t>
        </is>
      </c>
      <c r="C184" s="14" t="inlineStr">
        <is>
          <t xml:space="preserve">Notes and exports</t>
        </is>
      </c>
      <c r="D184" s="14" t="inlineStr">
        <is>
          <t xml:space="preserve">Accessibility</t>
        </is>
      </c>
      <c r="E184" s="14" t="inlineStr">
        <is>
          <t xml:space="preserve">Print the exported rota in monochrome</t>
        </is>
      </c>
      <c r="F184" s="14" t="inlineStr">
        <is>
          <t xml:space="preserve">Medium</t>
        </is>
      </c>
      <c r="G184" s="14" t="inlineStr">
        <is>
          <t xml:space="preserve">Medium</t>
        </is>
      </c>
      <c r="H184" s="14" t="inlineStr">
        <is>
          <t xml:space="preserve">Beta</t>
        </is>
      </c>
      <c r="I184" s="14" t="inlineStr">
        <is>
          <t xml:space="preserve">Manager account; populated rota with zones, notes and overnight shifts.</t>
        </is>
      </c>
      <c r="J184" s="14" t="inlineStr">
        <is>
          <t xml:space="preserve">1. Prepare the stated preconditions and sign in with the required role.
2. Navigate to Notes and exports.
3. Execute: Print the exported rota in monochrome.
4. Refresh or reopen the relevant page and inspect persisted data.
5. Verify UI feedback, permissions, notifications and audit records where applicable.</t>
        </is>
      </c>
      <c r="K184" s="14" t="inlineStr">
        <is>
          <t xml:space="preserve">Template weeks; private/public notes; PDF export</t>
        </is>
      </c>
      <c r="L184" s="14" t="inlineStr">
        <is>
          <t xml:space="preserve">Information remains distinguishable without relying solely on colour.</t>
        </is>
      </c>
      <c r="M184" s="14" t="inlineStr">
        <is>
          <t xml:space="preserve">Candidate</t>
        </is>
      </c>
      <c r="N184" s="14" t="inlineStr">
        <is>
          <t xml:space="preserve">No</t>
        </is>
      </c>
      <c r="O184" s="14" t="inlineStr">
        <is>
          <t xml:space="preserve">Active</t>
        </is>
      </c>
      <c r="P184" s="14"/>
    </row>
    <row r="185">
      <c r="A185" s="14" t="inlineStr">
        <is>
          <t xml:space="preserve">RR-0185</t>
        </is>
      </c>
      <c r="B185" s="14" t="inlineStr">
        <is>
          <t xml:space="preserve">Employee Dashboard</t>
        </is>
      </c>
      <c r="C185" s="14" t="inlineStr">
        <is>
          <t xml:space="preserve">Self-service dashboard</t>
        </is>
      </c>
      <c r="D185" s="14" t="inlineStr">
        <is>
          <t xml:space="preserve">Functional</t>
        </is>
      </c>
      <c r="E185" s="14" t="inlineStr">
        <is>
          <t xml:space="preserve">Display the next upcoming shift</t>
        </is>
      </c>
      <c r="F185" s="14" t="inlineStr">
        <is>
          <t xml:space="preserve">Critical</t>
        </is>
      </c>
      <c r="G185" s="14" t="inlineStr">
        <is>
          <t xml:space="preserve">Medium</t>
        </is>
      </c>
      <c r="H185" s="14" t="inlineStr">
        <is>
          <t xml:space="preserve">Beta</t>
        </is>
      </c>
      <c r="I185" s="14" t="inlineStr">
        <is>
          <t xml:space="preserve">Employee has at least one location, published shifts and notification preferences.</t>
        </is>
      </c>
      <c r="J185" s="14" t="inlineStr">
        <is>
          <t xml:space="preserve">1. Prepare the stated preconditions and sign in with the required role.
2. Navigate to Self-service dashboard.
3. Execute: Display the next upcoming shift.
4. Refresh or reopen the relevant page and inspect persisted data.
5. Verify UI feedback, permissions, notifications and audit records where applicable.</t>
        </is>
      </c>
      <c r="K185" s="14" t="inlineStr">
        <is>
          <t xml:space="preserve">Upcoming, current, completed and changed shifts</t>
        </is>
      </c>
      <c r="L185" s="14" t="inlineStr">
        <is>
          <t xml:space="preserve">The chronologically next published shift is shown with location, zone and time.</t>
        </is>
      </c>
      <c r="M185" s="14" t="inlineStr">
        <is>
          <t xml:space="preserve">Candidate</t>
        </is>
      </c>
      <c r="N185" s="14" t="inlineStr">
        <is>
          <t xml:space="preserve">Yes</t>
        </is>
      </c>
      <c r="O185" s="14" t="inlineStr">
        <is>
          <t xml:space="preserve">Active</t>
        </is>
      </c>
      <c r="P185" s="14"/>
    </row>
    <row r="186">
      <c r="A186" s="14" t="inlineStr">
        <is>
          <t xml:space="preserve">RR-0186</t>
        </is>
      </c>
      <c r="B186" s="14" t="inlineStr">
        <is>
          <t xml:space="preserve">Employee Dashboard</t>
        </is>
      </c>
      <c r="C186" s="14" t="inlineStr">
        <is>
          <t xml:space="preserve">Self-service dashboard</t>
        </is>
      </c>
      <c r="D186" s="14" t="inlineStr">
        <is>
          <t xml:space="preserve">Functional</t>
        </is>
      </c>
      <c r="E186" s="14" t="inlineStr">
        <is>
          <t xml:space="preserve">Employee currently clocked in</t>
        </is>
      </c>
      <c r="F186" s="14" t="inlineStr">
        <is>
          <t xml:space="preserve">Critical</t>
        </is>
      </c>
      <c r="G186" s="14" t="inlineStr">
        <is>
          <t xml:space="preserve">Medium</t>
        </is>
      </c>
      <c r="H186" s="14" t="inlineStr">
        <is>
          <t xml:space="preserve">Beta</t>
        </is>
      </c>
      <c r="I186" s="14" t="inlineStr">
        <is>
          <t xml:space="preserve">Employee has at least one location, published shifts and notification preferences.</t>
        </is>
      </c>
      <c r="J186" s="14" t="inlineStr">
        <is>
          <t xml:space="preserve">1. Prepare the stated preconditions and sign in with the required role.
2. Navigate to Self-service dashboard.
3. Execute: Employee currently clocked in.
4. Refresh or reopen the relevant page and inspect persisted data.
5. Verify UI feedback, permissions, notifications and audit records where applicable.</t>
        </is>
      </c>
      <c r="K186" s="14" t="inlineStr">
        <is>
          <t xml:space="preserve">Upcoming, current, completed and changed shifts</t>
        </is>
      </c>
      <c r="L186" s="14" t="inlineStr">
        <is>
          <t xml:space="preserve">Clock timer shows the active shift/location and updates accurately.</t>
        </is>
      </c>
      <c r="M186" s="14" t="inlineStr">
        <is>
          <t xml:space="preserve">Candidate</t>
        </is>
      </c>
      <c r="N186" s="14" t="inlineStr">
        <is>
          <t xml:space="preserve">Yes</t>
        </is>
      </c>
      <c r="O186" s="14" t="inlineStr">
        <is>
          <t xml:space="preserve">Active</t>
        </is>
      </c>
      <c r="P186" s="14"/>
    </row>
    <row r="187">
      <c r="A187" s="14" t="inlineStr">
        <is>
          <t xml:space="preserve">RR-0187</t>
        </is>
      </c>
      <c r="B187" s="14" t="inlineStr">
        <is>
          <t xml:space="preserve">Employee Dashboard</t>
        </is>
      </c>
      <c r="C187" s="14" t="inlineStr">
        <is>
          <t xml:space="preserve">Self-service dashboard</t>
        </is>
      </c>
      <c r="D187" s="14" t="inlineStr">
        <is>
          <t xml:space="preserve">Functional</t>
        </is>
      </c>
      <c r="E187" s="14" t="inlineStr">
        <is>
          <t xml:space="preserve">Employee has no upcoming shifts</t>
        </is>
      </c>
      <c r="F187" s="14" t="inlineStr">
        <is>
          <t xml:space="preserve">Medium</t>
        </is>
      </c>
      <c r="G187" s="14" t="inlineStr">
        <is>
          <t xml:space="preserve">Medium</t>
        </is>
      </c>
      <c r="H187" s="14" t="inlineStr">
        <is>
          <t xml:space="preserve">Beta</t>
        </is>
      </c>
      <c r="I187" s="14" t="inlineStr">
        <is>
          <t xml:space="preserve">Employee has at least one location, published shifts and notification preferences.</t>
        </is>
      </c>
      <c r="J187" s="14" t="inlineStr">
        <is>
          <t xml:space="preserve">1. Prepare the stated preconditions and sign in with the required role.
2. Navigate to Self-service dashboard.
3. Execute: Employee has no upcoming shifts.
4. Refresh or reopen the relevant page and inspect persisted data.
5. Verify UI feedback, permissions, notifications and audit records where applicable.</t>
        </is>
      </c>
      <c r="K187" s="14" t="inlineStr">
        <is>
          <t xml:space="preserve">Upcoming, current, completed and changed shifts</t>
        </is>
      </c>
      <c r="L187" s="14" t="inlineStr">
        <is>
          <t xml:space="preserve">A clear empty state appears without stale data.</t>
        </is>
      </c>
      <c r="M187" s="14" t="inlineStr">
        <is>
          <t xml:space="preserve">Candidate</t>
        </is>
      </c>
      <c r="N187" s="14" t="inlineStr">
        <is>
          <t xml:space="preserve">No</t>
        </is>
      </c>
      <c r="O187" s="14" t="inlineStr">
        <is>
          <t xml:space="preserve">Active</t>
        </is>
      </c>
      <c r="P187" s="14"/>
    </row>
    <row r="188">
      <c r="A188" s="14" t="inlineStr">
        <is>
          <t xml:space="preserve">RR-0188</t>
        </is>
      </c>
      <c r="B188" s="14" t="inlineStr">
        <is>
          <t xml:space="preserve">Employee Dashboard</t>
        </is>
      </c>
      <c r="C188" s="14" t="inlineStr">
        <is>
          <t xml:space="preserve">Self-service dashboard</t>
        </is>
      </c>
      <c r="D188" s="14" t="inlineStr">
        <is>
          <t xml:space="preserve">Functional</t>
        </is>
      </c>
      <c r="E188" s="14" t="inlineStr">
        <is>
          <t xml:space="preserve">Display shifts for the current week</t>
        </is>
      </c>
      <c r="F188" s="14" t="inlineStr">
        <is>
          <t xml:space="preserve">Critical</t>
        </is>
      </c>
      <c r="G188" s="14" t="inlineStr">
        <is>
          <t xml:space="preserve">Medium</t>
        </is>
      </c>
      <c r="H188" s="14" t="inlineStr">
        <is>
          <t xml:space="preserve">Beta</t>
        </is>
      </c>
      <c r="I188" s="14" t="inlineStr">
        <is>
          <t xml:space="preserve">Employee has at least one location, published shifts and notification preferences.</t>
        </is>
      </c>
      <c r="J188" s="14" t="inlineStr">
        <is>
          <t xml:space="preserve">1. Prepare the stated preconditions and sign in with the required role.
2. Navigate to Self-service dashboard.
3. Execute: Display shifts for the current week.
4. Refresh or reopen the relevant page and inspect persisted data.
5. Verify UI feedback, permissions, notifications and audit records where applicable.</t>
        </is>
      </c>
      <c r="K188" s="14" t="inlineStr">
        <is>
          <t xml:space="preserve">Upcoming, current, completed and changed shifts</t>
        </is>
      </c>
      <c r="L188" s="14" t="inlineStr">
        <is>
          <t xml:space="preserve">Only the employee's published shifts appear in local date order.</t>
        </is>
      </c>
      <c r="M188" s="14" t="inlineStr">
        <is>
          <t xml:space="preserve">Candidate</t>
        </is>
      </c>
      <c r="N188" s="14" t="inlineStr">
        <is>
          <t xml:space="preserve">Yes</t>
        </is>
      </c>
      <c r="O188" s="14" t="inlineStr">
        <is>
          <t xml:space="preserve">Active</t>
        </is>
      </c>
      <c r="P188" s="14"/>
    </row>
    <row r="189">
      <c r="A189" s="14" t="inlineStr">
        <is>
          <t xml:space="preserve">RR-0189</t>
        </is>
      </c>
      <c r="B189" s="14" t="inlineStr">
        <is>
          <t xml:space="preserve">Employee Dashboard</t>
        </is>
      </c>
      <c r="C189" s="14" t="inlineStr">
        <is>
          <t xml:space="preserve">Self-service dashboard</t>
        </is>
      </c>
      <c r="D189" s="14" t="inlineStr">
        <is>
          <t xml:space="preserve">Functional</t>
        </is>
      </c>
      <c r="E189" s="14" t="inlineStr">
        <is>
          <t xml:space="preserve">Employee works at two locations</t>
        </is>
      </c>
      <c r="F189" s="14" t="inlineStr">
        <is>
          <t xml:space="preserve">High</t>
        </is>
      </c>
      <c r="G189" s="14" t="inlineStr">
        <is>
          <t xml:space="preserve">Medium</t>
        </is>
      </c>
      <c r="H189" s="14" t="inlineStr">
        <is>
          <t xml:space="preserve">Beta</t>
        </is>
      </c>
      <c r="I189" s="14" t="inlineStr">
        <is>
          <t xml:space="preserve">Employee has at least one location, published shifts and notification preferences.</t>
        </is>
      </c>
      <c r="J189" s="14" t="inlineStr">
        <is>
          <t xml:space="preserve">1. Prepare the stated preconditions and sign in with the required role.
2. Navigate to Self-service dashboard.
3. Execute: Employee works at two locations.
4. Refresh or reopen the relevant page and inspect persisted data.
5. Verify UI feedback, permissions, notifications and audit records where applicable.</t>
        </is>
      </c>
      <c r="K189" s="14" t="inlineStr">
        <is>
          <t xml:space="preserve">Upcoming, current, completed and changed shifts</t>
        </is>
      </c>
      <c r="L189" s="14" t="inlineStr">
        <is>
          <t xml:space="preserve">Each shift clearly identifies its location and no membership data is mixed.</t>
        </is>
      </c>
      <c r="M189" s="14" t="inlineStr">
        <is>
          <t xml:space="preserve">Candidate</t>
        </is>
      </c>
      <c r="N189" s="14" t="inlineStr">
        <is>
          <t xml:space="preserve">Yes</t>
        </is>
      </c>
      <c r="O189" s="14" t="inlineStr">
        <is>
          <t xml:space="preserve">Active</t>
        </is>
      </c>
      <c r="P189" s="14"/>
    </row>
    <row r="190">
      <c r="A190" s="14" t="inlineStr">
        <is>
          <t xml:space="preserve">RR-0190</t>
        </is>
      </c>
      <c r="B190" s="14" t="inlineStr">
        <is>
          <t xml:space="preserve">Employee Dashboard</t>
        </is>
      </c>
      <c r="C190" s="14" t="inlineStr">
        <is>
          <t xml:space="preserve">Self-service dashboard</t>
        </is>
      </c>
      <c r="D190" s="14" t="inlineStr">
        <is>
          <t xml:space="preserve">Functional</t>
        </is>
      </c>
      <c r="E190" s="14" t="inlineStr">
        <is>
          <t xml:space="preserve">A published shift is changed</t>
        </is>
      </c>
      <c r="F190" s="14" t="inlineStr">
        <is>
          <t xml:space="preserve">High</t>
        </is>
      </c>
      <c r="G190" s="14" t="inlineStr">
        <is>
          <t xml:space="preserve">Medium</t>
        </is>
      </c>
      <c r="H190" s="14" t="inlineStr">
        <is>
          <t xml:space="preserve">Beta</t>
        </is>
      </c>
      <c r="I190" s="14" t="inlineStr">
        <is>
          <t xml:space="preserve">Employee has at least one location, published shifts and notification preferences.</t>
        </is>
      </c>
      <c r="J190" s="14" t="inlineStr">
        <is>
          <t xml:space="preserve">1. Prepare the stated preconditions and sign in with the required role.
2. Navigate to Self-service dashboard.
3. Execute: A published shift is changed.
4. Refresh or reopen the relevant page and inspect persisted data.
5. Verify UI feedback, permissions, notifications and audit records where applicable.</t>
        </is>
      </c>
      <c r="K190" s="14" t="inlineStr">
        <is>
          <t xml:space="preserve">Upcoming, current, completed and changed shifts</t>
        </is>
      </c>
      <c r="L190" s="14" t="inlineStr">
        <is>
          <t xml:space="preserve">Dashboard updates promptly and marks/communicates the change.</t>
        </is>
      </c>
      <c r="M190" s="14" t="inlineStr">
        <is>
          <t xml:space="preserve">Candidate</t>
        </is>
      </c>
      <c r="N190" s="14" t="inlineStr">
        <is>
          <t xml:space="preserve">Yes</t>
        </is>
      </c>
      <c r="O190" s="14" t="inlineStr">
        <is>
          <t xml:space="preserve">Active</t>
        </is>
      </c>
      <c r="P190" s="14"/>
    </row>
    <row r="191">
      <c r="A191" s="14" t="inlineStr">
        <is>
          <t xml:space="preserve">RR-0191</t>
        </is>
      </c>
      <c r="B191" s="14" t="inlineStr">
        <is>
          <t xml:space="preserve">Employee Dashboard</t>
        </is>
      </c>
      <c r="C191" s="14" t="inlineStr">
        <is>
          <t xml:space="preserve">Self-service dashboard</t>
        </is>
      </c>
      <c r="D191" s="14" t="inlineStr">
        <is>
          <t xml:space="preserve">Security</t>
        </is>
      </c>
      <c r="E191" s="14" t="inlineStr">
        <is>
          <t xml:space="preserve">Open a shift detail</t>
        </is>
      </c>
      <c r="F191" s="14" t="inlineStr">
        <is>
          <t xml:space="preserve">Critical</t>
        </is>
      </c>
      <c r="G191" s="14" t="inlineStr">
        <is>
          <t xml:space="preserve">Medium</t>
        </is>
      </c>
      <c r="H191" s="14" t="inlineStr">
        <is>
          <t xml:space="preserve">Beta</t>
        </is>
      </c>
      <c r="I191" s="14" t="inlineStr">
        <is>
          <t xml:space="preserve">Employee has at least one location, published shifts and notification preferences.</t>
        </is>
      </c>
      <c r="J191" s="14" t="inlineStr">
        <is>
          <t xml:space="preserve">1. Prepare the stated preconditions and sign in with the required role.
2. Navigate to Self-service dashboard.
3. Execute: Open a shift detail.
4. Refresh or reopen the relevant page and inspect persisted data.
5. Verify UI feedback, permissions, notifications and audit records where applicable.</t>
        </is>
      </c>
      <c r="K191" s="14" t="inlineStr">
        <is>
          <t xml:space="preserve">Upcoming, current, completed and changed shifts</t>
        </is>
      </c>
      <c r="L191" s="14" t="inlineStr">
        <is>
          <t xml:space="preserve">Employee-visible note, break and location details are correct; private fields are absent.</t>
        </is>
      </c>
      <c r="M191" s="14" t="inlineStr">
        <is>
          <t xml:space="preserve">Candidate</t>
        </is>
      </c>
      <c r="N191" s="14" t="inlineStr">
        <is>
          <t xml:space="preserve">Yes</t>
        </is>
      </c>
      <c r="O191" s="14" t="inlineStr">
        <is>
          <t xml:space="preserve">Active</t>
        </is>
      </c>
      <c r="P191" s="14"/>
    </row>
    <row r="192">
      <c r="A192" s="14" t="inlineStr">
        <is>
          <t xml:space="preserve">RR-0192</t>
        </is>
      </c>
      <c r="B192" s="14" t="inlineStr">
        <is>
          <t xml:space="preserve">Employee Dashboard</t>
        </is>
      </c>
      <c r="C192" s="14" t="inlineStr">
        <is>
          <t xml:space="preserve">Self-service dashboard</t>
        </is>
      </c>
      <c r="D192" s="14" t="inlineStr">
        <is>
          <t xml:space="preserve">Functional</t>
        </is>
      </c>
      <c r="E192" s="14" t="inlineStr">
        <is>
          <t xml:space="preserve">Display estimated/scheduled weekly hours</t>
        </is>
      </c>
      <c r="F192" s="14" t="inlineStr">
        <is>
          <t xml:space="preserve">High</t>
        </is>
      </c>
      <c r="G192" s="14" t="inlineStr">
        <is>
          <t xml:space="preserve">Medium</t>
        </is>
      </c>
      <c r="H192" s="14" t="inlineStr">
        <is>
          <t xml:space="preserve">Beta</t>
        </is>
      </c>
      <c r="I192" s="14" t="inlineStr">
        <is>
          <t xml:space="preserve">Employee has at least one location, published shifts and notification preferences.</t>
        </is>
      </c>
      <c r="J192" s="14" t="inlineStr">
        <is>
          <t xml:space="preserve">1. Prepare the stated preconditions and sign in with the required role.
2. Navigate to Self-service dashboard.
3. Execute: Display estimated/scheduled weekly hours.
4. Refresh or reopen the relevant page and inspect persisted data.
5. Verify UI feedback, permissions, notifications and audit records where applicable.</t>
        </is>
      </c>
      <c r="K192" s="14" t="inlineStr">
        <is>
          <t xml:space="preserve">Upcoming, current, completed and changed shifts</t>
        </is>
      </c>
      <c r="L192" s="14" t="inlineStr">
        <is>
          <t xml:space="preserve">Hours match published paid durations.</t>
        </is>
      </c>
      <c r="M192" s="14" t="inlineStr">
        <is>
          <t xml:space="preserve">Candidate</t>
        </is>
      </c>
      <c r="N192" s="14" t="inlineStr">
        <is>
          <t xml:space="preserve">Yes</t>
        </is>
      </c>
      <c r="O192" s="14" t="inlineStr">
        <is>
          <t xml:space="preserve">Active</t>
        </is>
      </c>
      <c r="P192" s="14"/>
    </row>
    <row r="193">
      <c r="A193" s="14" t="inlineStr">
        <is>
          <t xml:space="preserve">RR-0193</t>
        </is>
      </c>
      <c r="B193" s="14" t="inlineStr">
        <is>
          <t xml:space="preserve">Employee Dashboard</t>
        </is>
      </c>
      <c r="C193" s="14" t="inlineStr">
        <is>
          <t xml:space="preserve">Self-service dashboard</t>
        </is>
      </c>
      <c r="D193" s="14" t="inlineStr">
        <is>
          <t xml:space="preserve">Functional</t>
        </is>
      </c>
      <c r="E193" s="14" t="inlineStr">
        <is>
          <t xml:space="preserve">View announcements</t>
        </is>
      </c>
      <c r="F193" s="14" t="inlineStr">
        <is>
          <t xml:space="preserve">High</t>
        </is>
      </c>
      <c r="G193" s="14" t="inlineStr">
        <is>
          <t xml:space="preserve">Medium</t>
        </is>
      </c>
      <c r="H193" s="14" t="inlineStr">
        <is>
          <t xml:space="preserve">Beta</t>
        </is>
      </c>
      <c r="I193" s="14" t="inlineStr">
        <is>
          <t xml:space="preserve">Employee has at least one location, published shifts and notification preferences.</t>
        </is>
      </c>
      <c r="J193" s="14" t="inlineStr">
        <is>
          <t xml:space="preserve">1. Prepare the stated preconditions and sign in with the required role.
2. Navigate to Self-service dashboard.
3. Execute: View announcements.
4. Refresh or reopen the relevant page and inspect persisted data.
5. Verify UI feedback, permissions, notifications and audit records where applicable.</t>
        </is>
      </c>
      <c r="K193" s="14" t="inlineStr">
        <is>
          <t xml:space="preserve">Upcoming, current, completed and changed shifts</t>
        </is>
      </c>
      <c r="L193" s="14" t="inlineStr">
        <is>
          <t xml:space="preserve">Only active announcements targeted to the employee/location are shown.</t>
        </is>
      </c>
      <c r="M193" s="14" t="inlineStr">
        <is>
          <t xml:space="preserve">Candidate</t>
        </is>
      </c>
      <c r="N193" s="14" t="inlineStr">
        <is>
          <t xml:space="preserve">Yes</t>
        </is>
      </c>
      <c r="O193" s="14" t="inlineStr">
        <is>
          <t xml:space="preserve">Active</t>
        </is>
      </c>
      <c r="P193" s="14"/>
    </row>
    <row r="194">
      <c r="A194" s="14" t="inlineStr">
        <is>
          <t xml:space="preserve">RR-0194</t>
        </is>
      </c>
      <c r="B194" s="14" t="inlineStr">
        <is>
          <t xml:space="preserve">Employee Dashboard</t>
        </is>
      </c>
      <c r="C194" s="14" t="inlineStr">
        <is>
          <t xml:space="preserve">Self-service dashboard</t>
        </is>
      </c>
      <c r="D194" s="14" t="inlineStr">
        <is>
          <t xml:space="preserve">Functional</t>
        </is>
      </c>
      <c r="E194" s="14" t="inlineStr">
        <is>
          <t xml:space="preserve">Dismiss an announcement</t>
        </is>
      </c>
      <c r="F194" s="14" t="inlineStr">
        <is>
          <t xml:space="preserve">Medium</t>
        </is>
      </c>
      <c r="G194" s="14" t="inlineStr">
        <is>
          <t xml:space="preserve">Medium</t>
        </is>
      </c>
      <c r="H194" s="14" t="inlineStr">
        <is>
          <t xml:space="preserve">Beta</t>
        </is>
      </c>
      <c r="I194" s="14" t="inlineStr">
        <is>
          <t xml:space="preserve">Employee has at least one location, published shifts and notification preferences.</t>
        </is>
      </c>
      <c r="J194" s="14" t="inlineStr">
        <is>
          <t xml:space="preserve">1. Prepare the stated preconditions and sign in with the required role.
2. Navigate to Self-service dashboard.
3. Execute: Dismiss an announcement.
4. Refresh or reopen the relevant page and inspect persisted data.
5. Verify UI feedback, permissions, notifications and audit records where applicable.</t>
        </is>
      </c>
      <c r="K194" s="14" t="inlineStr">
        <is>
          <t xml:space="preserve">Upcoming, current, completed and changed shifts</t>
        </is>
      </c>
      <c r="L194" s="14" t="inlineStr">
        <is>
          <t xml:space="preserve">Dismissal persists for that user without hiding it for others.</t>
        </is>
      </c>
      <c r="M194" s="14" t="inlineStr">
        <is>
          <t xml:space="preserve">Candidate</t>
        </is>
      </c>
      <c r="N194" s="14" t="inlineStr">
        <is>
          <t xml:space="preserve">No</t>
        </is>
      </c>
      <c r="O194" s="14" t="inlineStr">
        <is>
          <t xml:space="preserve">Active</t>
        </is>
      </c>
      <c r="P194" s="14"/>
    </row>
    <row r="195">
      <c r="A195" s="14" t="inlineStr">
        <is>
          <t xml:space="preserve">RR-0195</t>
        </is>
      </c>
      <c r="B195" s="14" t="inlineStr">
        <is>
          <t xml:space="preserve">Employee Dashboard</t>
        </is>
      </c>
      <c r="C195" s="14" t="inlineStr">
        <is>
          <t xml:space="preserve">Self-service dashboard</t>
        </is>
      </c>
      <c r="D195" s="14" t="inlineStr">
        <is>
          <t xml:space="preserve">Accessibility</t>
        </is>
      </c>
      <c r="E195" s="14" t="inlineStr">
        <is>
          <t xml:space="preserve">Use dashboard on mobile with system text enlarged</t>
        </is>
      </c>
      <c r="F195" s="14" t="inlineStr">
        <is>
          <t xml:space="preserve">High</t>
        </is>
      </c>
      <c r="G195" s="14" t="inlineStr">
        <is>
          <t xml:space="preserve">Medium</t>
        </is>
      </c>
      <c r="H195" s="14" t="inlineStr">
        <is>
          <t xml:space="preserve">Beta</t>
        </is>
      </c>
      <c r="I195" s="14" t="inlineStr">
        <is>
          <t xml:space="preserve">Employee has at least one location, published shifts and notification preferences.</t>
        </is>
      </c>
      <c r="J195" s="14" t="inlineStr">
        <is>
          <t xml:space="preserve">1. Prepare the stated preconditions and sign in with the required role.
2. Navigate to Self-service dashboard.
3. Execute: Use dashboard on mobile with system text enlarged.
4. Refresh or reopen the relevant page and inspect persisted data.
5. Verify UI feedback, permissions, notifications and audit records where applicable.</t>
        </is>
      </c>
      <c r="K195" s="14" t="inlineStr">
        <is>
          <t xml:space="preserve">Upcoming, current, completed and changed shifts</t>
        </is>
      </c>
      <c r="L195" s="14" t="inlineStr">
        <is>
          <t xml:space="preserve">Cards remain readable and actions do not overlap.</t>
        </is>
      </c>
      <c r="M195" s="14" t="inlineStr">
        <is>
          <t xml:space="preserve">Candidate</t>
        </is>
      </c>
      <c r="N195" s="14" t="inlineStr">
        <is>
          <t xml:space="preserve">Yes</t>
        </is>
      </c>
      <c r="O195" s="14" t="inlineStr">
        <is>
          <t xml:space="preserve">Active</t>
        </is>
      </c>
      <c r="P195" s="14"/>
    </row>
    <row r="196">
      <c r="A196" s="14" t="inlineStr">
        <is>
          <t xml:space="preserve">RR-0196</t>
        </is>
      </c>
      <c r="B196" s="14" t="inlineStr">
        <is>
          <t xml:space="preserve">Employee Dashboard</t>
        </is>
      </c>
      <c r="C196" s="14" t="inlineStr">
        <is>
          <t xml:space="preserve">Self-service dashboard</t>
        </is>
      </c>
      <c r="D196" s="14" t="inlineStr">
        <is>
          <t xml:space="preserve">Recovery</t>
        </is>
      </c>
      <c r="E196" s="14" t="inlineStr">
        <is>
          <t xml:space="preserve">Dashboard API request returns an error</t>
        </is>
      </c>
      <c r="F196" s="14" t="inlineStr">
        <is>
          <t xml:space="preserve">High</t>
        </is>
      </c>
      <c r="G196" s="14" t="inlineStr">
        <is>
          <t xml:space="preserve">Medium</t>
        </is>
      </c>
      <c r="H196" s="14" t="inlineStr">
        <is>
          <t xml:space="preserve">Beta</t>
        </is>
      </c>
      <c r="I196" s="14" t="inlineStr">
        <is>
          <t xml:space="preserve">Employee has at least one location, published shifts and notification preferences.</t>
        </is>
      </c>
      <c r="J196" s="14" t="inlineStr">
        <is>
          <t xml:space="preserve">1. Prepare the stated preconditions and sign in with the required role.
2. Navigate to Self-service dashboard.
3. Execute: Dashboard API request returns an error.
4. Refresh or reopen the relevant page and inspect persisted data.
5. Verify UI feedback, permissions, notifications and audit records where applicable.</t>
        </is>
      </c>
      <c r="K196" s="14" t="inlineStr">
        <is>
          <t xml:space="preserve">Upcoming, current, completed and changed shifts</t>
        </is>
      </c>
      <c r="L196" s="14" t="inlineStr">
        <is>
          <t xml:space="preserve">A recoverable error state appears without leaking server details.</t>
        </is>
      </c>
      <c r="M196" s="14" t="inlineStr">
        <is>
          <t xml:space="preserve">Candidate</t>
        </is>
      </c>
      <c r="N196" s="14" t="inlineStr">
        <is>
          <t xml:space="preserve">Yes</t>
        </is>
      </c>
      <c r="O196" s="14" t="inlineStr">
        <is>
          <t xml:space="preserve">Active</t>
        </is>
      </c>
      <c r="P196" s="14"/>
    </row>
    <row r="197">
      <c r="A197" s="14" t="inlineStr">
        <is>
          <t xml:space="preserve">RR-0197</t>
        </is>
      </c>
      <c r="B197" s="14" t="inlineStr">
        <is>
          <t xml:space="preserve">T&amp;A Activation &amp; Stations</t>
        </is>
      </c>
      <c r="C197" s="14" t="inlineStr">
        <is>
          <t xml:space="preserve">Add-on and station lifecycle</t>
        </is>
      </c>
      <c r="D197" s="14" t="inlineStr">
        <is>
          <t xml:space="preserve">Billing</t>
        </is>
      </c>
      <c r="E197" s="14" t="inlineStr">
        <is>
          <t xml:space="preserve">Enable Time &amp; Attendance for a location before station delivery</t>
        </is>
      </c>
      <c r="F197" s="14" t="inlineStr">
        <is>
          <t xml:space="preserve">Critical</t>
        </is>
      </c>
      <c r="G197" s="14" t="inlineStr">
        <is>
          <t xml:space="preserve">Medium</t>
        </is>
      </c>
      <c r="H197" s="14" t="inlineStr">
        <is>
          <t xml:space="preserve">Beta</t>
        </is>
      </c>
      <c r="I197" s="14" t="inlineStr">
        <is>
          <t xml:space="preserve">Location exists with Time &amp; Attendance available; test station record exists.</t>
        </is>
      </c>
      <c r="J197" s="14" t="inlineStr">
        <is>
          <t xml:space="preserve">1. Prepare the stated preconditions and sign in with the required role.
2. Navigate to Add-on and station lifecycle.
3. Execute: Enable Time &amp; Attendance for a location before station delivery.
4. Refresh or reopen the relevant page and inspect persisted data.
5. Verify UI feedback, permissions, notifications and audit records where applicable.</t>
        </is>
      </c>
      <c r="K197" s="14" t="inlineStr">
        <is>
          <t xml:space="preserve">Inactive/active/cancelled station states</t>
        </is>
      </c>
      <c r="L197" s="14" t="inlineStr">
        <is>
          <t xml:space="preserve">The UI warns that billing begins on activation and does not activate silently.</t>
        </is>
      </c>
      <c r="M197" s="14" t="inlineStr">
        <is>
          <t xml:space="preserve">Candidate</t>
        </is>
      </c>
      <c r="N197" s="14" t="inlineStr">
        <is>
          <t xml:space="preserve">Yes</t>
        </is>
      </c>
      <c r="O197" s="14" t="inlineStr">
        <is>
          <t xml:space="preserve">Active</t>
        </is>
      </c>
      <c r="P197" s="14"/>
    </row>
    <row r="198">
      <c r="A198" s="14" t="inlineStr">
        <is>
          <t xml:space="preserve">RR-0198</t>
        </is>
      </c>
      <c r="B198" s="14" t="inlineStr">
        <is>
          <t xml:space="preserve">T&amp;A Activation &amp; Stations</t>
        </is>
      </c>
      <c r="C198" s="14" t="inlineStr">
        <is>
          <t xml:space="preserve">Add-on and station lifecycle</t>
        </is>
      </c>
      <c r="D198" s="14" t="inlineStr">
        <is>
          <t xml:space="preserve">Functional</t>
        </is>
      </c>
      <c r="E198" s="14" t="inlineStr">
        <is>
          <t xml:space="preserve">Activate a delivered station from settings</t>
        </is>
      </c>
      <c r="F198" s="14" t="inlineStr">
        <is>
          <t xml:space="preserve">Critical</t>
        </is>
      </c>
      <c r="G198" s="14" t="inlineStr">
        <is>
          <t xml:space="preserve">Medium</t>
        </is>
      </c>
      <c r="H198" s="14" t="inlineStr">
        <is>
          <t xml:space="preserve">Beta</t>
        </is>
      </c>
      <c r="I198" s="14" t="inlineStr">
        <is>
          <t xml:space="preserve">Location exists with Time &amp; Attendance available; test station record exists.</t>
        </is>
      </c>
      <c r="J198" s="14" t="inlineStr">
        <is>
          <t xml:space="preserve">1. Prepare the stated preconditions and sign in with the required role.
2. Navigate to Add-on and station lifecycle.
3. Execute: Activate a delivered station from settings.
4. Refresh or reopen the relevant page and inspect persisted data.
5. Verify UI feedback, permissions, notifications and audit records where applicable.</t>
        </is>
      </c>
      <c r="K198" s="14" t="inlineStr">
        <is>
          <t xml:space="preserve">Inactive/active/cancelled station states</t>
        </is>
      </c>
      <c r="L198" s="14" t="inlineStr">
        <is>
          <t xml:space="preserve">Station becomes active, is linked to the chosen location and billing starts once.</t>
        </is>
      </c>
      <c r="M198" s="14" t="inlineStr">
        <is>
          <t xml:space="preserve">Candidate</t>
        </is>
      </c>
      <c r="N198" s="14" t="inlineStr">
        <is>
          <t xml:space="preserve">Yes</t>
        </is>
      </c>
      <c r="O198" s="14" t="inlineStr">
        <is>
          <t xml:space="preserve">Active</t>
        </is>
      </c>
      <c r="P198" s="14"/>
    </row>
    <row r="199">
      <c r="A199" s="14" t="inlineStr">
        <is>
          <t xml:space="preserve">RR-0199</t>
        </is>
      </c>
      <c r="B199" s="14" t="inlineStr">
        <is>
          <t xml:space="preserve">T&amp;A Activation &amp; Stations</t>
        </is>
      </c>
      <c r="C199" s="14" t="inlineStr">
        <is>
          <t xml:space="preserve">Add-on and station lifecycle</t>
        </is>
      </c>
      <c r="D199" s="14" t="inlineStr">
        <is>
          <t xml:space="preserve">Concurrency</t>
        </is>
      </c>
      <c r="E199" s="14" t="inlineStr">
        <is>
          <t xml:space="preserve">Activate the same station twice</t>
        </is>
      </c>
      <c r="F199" s="14" t="inlineStr">
        <is>
          <t xml:space="preserve">Critical</t>
        </is>
      </c>
      <c r="G199" s="14" t="inlineStr">
        <is>
          <t xml:space="preserve">Medium</t>
        </is>
      </c>
      <c r="H199" s="14" t="inlineStr">
        <is>
          <t xml:space="preserve">Beta</t>
        </is>
      </c>
      <c r="I199" s="14" t="inlineStr">
        <is>
          <t xml:space="preserve">Location exists with Time &amp; Attendance available; test station record exists.</t>
        </is>
      </c>
      <c r="J199" s="14" t="inlineStr">
        <is>
          <t xml:space="preserve">1. Prepare the stated preconditions and sign in with the required role.
2. Navigate to Add-on and station lifecycle.
3. Execute: Activate the same station twice.
4. Refresh or reopen the relevant page and inspect persisted data.
5. Verify UI feedback, permissions, notifications and audit records where applicable.</t>
        </is>
      </c>
      <c r="K199" s="14" t="inlineStr">
        <is>
          <t xml:space="preserve">Inactive/active/cancelled station states</t>
        </is>
      </c>
      <c r="L199" s="14" t="inlineStr">
        <is>
          <t xml:space="preserve">Second activation is idempotent or rejected; no duplicate charge/record is created.</t>
        </is>
      </c>
      <c r="M199" s="14" t="inlineStr">
        <is>
          <t xml:space="preserve">Candidate</t>
        </is>
      </c>
      <c r="N199" s="14" t="inlineStr">
        <is>
          <t xml:space="preserve">Yes</t>
        </is>
      </c>
      <c r="O199" s="14" t="inlineStr">
        <is>
          <t xml:space="preserve">Active</t>
        </is>
      </c>
      <c r="P199" s="14"/>
    </row>
    <row r="200">
      <c r="A200" s="14" t="inlineStr">
        <is>
          <t xml:space="preserve">RR-0200</t>
        </is>
      </c>
      <c r="B200" s="14" t="inlineStr">
        <is>
          <t xml:space="preserve">T&amp;A Activation &amp; Stations</t>
        </is>
      </c>
      <c r="C200" s="14" t="inlineStr">
        <is>
          <t xml:space="preserve">Add-on and station lifecycle</t>
        </is>
      </c>
      <c r="D200" s="14" t="inlineStr">
        <is>
          <t xml:space="preserve">Security</t>
        </is>
      </c>
      <c r="E200" s="14" t="inlineStr">
        <is>
          <t xml:space="preserve">Activate a station using an invalid code</t>
        </is>
      </c>
      <c r="F200" s="14" t="inlineStr">
        <is>
          <t xml:space="preserve">High</t>
        </is>
      </c>
      <c r="G200" s="14" t="inlineStr">
        <is>
          <t xml:space="preserve">Medium</t>
        </is>
      </c>
      <c r="H200" s="14" t="inlineStr">
        <is>
          <t xml:space="preserve">Beta</t>
        </is>
      </c>
      <c r="I200" s="14" t="inlineStr">
        <is>
          <t xml:space="preserve">Location exists with Time &amp; Attendance available; test station record exists.</t>
        </is>
      </c>
      <c r="J200" s="14" t="inlineStr">
        <is>
          <t xml:space="preserve">1. Prepare the stated preconditions and sign in with the required role.
2. Navigate to Add-on and station lifecycle.
3. Execute: Activate a station using an invalid code.
4. Refresh or reopen the relevant page and inspect persisted data.
5. Verify UI feedback, permissions, notifications and audit records where applicable.</t>
        </is>
      </c>
      <c r="K200" s="14" t="inlineStr">
        <is>
          <t xml:space="preserve">Inactive/active/cancelled station states</t>
        </is>
      </c>
      <c r="L200" s="14" t="inlineStr">
        <is>
          <t xml:space="preserve">Activation fails without revealing valid code patterns.</t>
        </is>
      </c>
      <c r="M200" s="14" t="inlineStr">
        <is>
          <t xml:space="preserve">Candidate</t>
        </is>
      </c>
      <c r="N200" s="14" t="inlineStr">
        <is>
          <t xml:space="preserve">Yes</t>
        </is>
      </c>
      <c r="O200" s="14" t="inlineStr">
        <is>
          <t xml:space="preserve">Active</t>
        </is>
      </c>
      <c r="P200" s="14"/>
    </row>
    <row r="201">
      <c r="A201" s="14" t="inlineStr">
        <is>
          <t xml:space="preserve">RR-0201</t>
        </is>
      </c>
      <c r="B201" s="14" t="inlineStr">
        <is>
          <t xml:space="preserve">T&amp;A Activation &amp; Stations</t>
        </is>
      </c>
      <c r="C201" s="14" t="inlineStr">
        <is>
          <t xml:space="preserve">Add-on and station lifecycle</t>
        </is>
      </c>
      <c r="D201" s="14" t="inlineStr">
        <is>
          <t xml:space="preserve">Security</t>
        </is>
      </c>
      <c r="E201" s="14" t="inlineStr">
        <is>
          <t xml:space="preserve">Activate a station already assigned to another organisation</t>
        </is>
      </c>
      <c r="F201" s="14" t="inlineStr">
        <is>
          <t xml:space="preserve">Critical</t>
        </is>
      </c>
      <c r="G201" s="14" t="inlineStr">
        <is>
          <t xml:space="preserve">Medium</t>
        </is>
      </c>
      <c r="H201" s="14" t="inlineStr">
        <is>
          <t xml:space="preserve">Beta</t>
        </is>
      </c>
      <c r="I201" s="14" t="inlineStr">
        <is>
          <t xml:space="preserve">Location exists with Time &amp; Attendance available; test station record exists.</t>
        </is>
      </c>
      <c r="J201" s="14" t="inlineStr">
        <is>
          <t xml:space="preserve">1. Prepare the stated preconditions and sign in with the required role.
2. Navigate to Add-on and station lifecycle.
3. Execute: Activate a station already assigned to another organisation.
4. Refresh or reopen the relevant page and inspect persisted data.
5. Verify UI feedback, permissions, notifications and audit records where applicable.</t>
        </is>
      </c>
      <c r="K201" s="14" t="inlineStr">
        <is>
          <t xml:space="preserve">Inactive/active/cancelled station states</t>
        </is>
      </c>
      <c r="L201" s="14" t="inlineStr">
        <is>
          <t xml:space="preserve">Action is blocked and logged.</t>
        </is>
      </c>
      <c r="M201" s="14" t="inlineStr">
        <is>
          <t xml:space="preserve">Candidate</t>
        </is>
      </c>
      <c r="N201" s="14" t="inlineStr">
        <is>
          <t xml:space="preserve">Yes</t>
        </is>
      </c>
      <c r="O201" s="14" t="inlineStr">
        <is>
          <t xml:space="preserve">Active</t>
        </is>
      </c>
      <c r="P201" s="14"/>
    </row>
    <row r="202">
      <c r="A202" s="14" t="inlineStr">
        <is>
          <t xml:space="preserve">RR-0202</t>
        </is>
      </c>
      <c r="B202" s="14" t="inlineStr">
        <is>
          <t xml:space="preserve">T&amp;A Activation &amp; Stations</t>
        </is>
      </c>
      <c r="C202" s="14" t="inlineStr">
        <is>
          <t xml:space="preserve">Add-on and station lifecycle</t>
        </is>
      </c>
      <c r="D202" s="14" t="inlineStr">
        <is>
          <t xml:space="preserve">Functional</t>
        </is>
      </c>
      <c r="E202" s="14" t="inlineStr">
        <is>
          <t xml:space="preserve">Move a station to another location</t>
        </is>
      </c>
      <c r="F202" s="14" t="inlineStr">
        <is>
          <t xml:space="preserve">Critical</t>
        </is>
      </c>
      <c r="G202" s="14" t="inlineStr">
        <is>
          <t xml:space="preserve">Medium</t>
        </is>
      </c>
      <c r="H202" s="14" t="inlineStr">
        <is>
          <t xml:space="preserve">Beta</t>
        </is>
      </c>
      <c r="I202" s="14" t="inlineStr">
        <is>
          <t xml:space="preserve">Location exists with Time &amp; Attendance available; test station record exists.</t>
        </is>
      </c>
      <c r="J202" s="14" t="inlineStr">
        <is>
          <t xml:space="preserve">1. Prepare the stated preconditions and sign in with the required role.
2. Navigate to Add-on and station lifecycle.
3. Execute: Move a station to another location.
4. Refresh or reopen the relevant page and inspect persisted data.
5. Verify UI feedback, permissions, notifications and audit records where applicable.</t>
        </is>
      </c>
      <c r="K202" s="14" t="inlineStr">
        <is>
          <t xml:space="preserve">Inactive/active/cancelled station states</t>
        </is>
      </c>
      <c r="L202" s="14" t="inlineStr">
        <is>
          <t xml:space="preserve">Reassignment requires authorisation and future clock-ins use the new location only.</t>
        </is>
      </c>
      <c r="M202" s="14" t="inlineStr">
        <is>
          <t xml:space="preserve">Candidate</t>
        </is>
      </c>
      <c r="N202" s="14" t="inlineStr">
        <is>
          <t xml:space="preserve">Yes</t>
        </is>
      </c>
      <c r="O202" s="14" t="inlineStr">
        <is>
          <t xml:space="preserve">Active</t>
        </is>
      </c>
      <c r="P202" s="14"/>
    </row>
    <row r="203">
      <c r="A203" s="14" t="inlineStr">
        <is>
          <t xml:space="preserve">RR-0203</t>
        </is>
      </c>
      <c r="B203" s="14" t="inlineStr">
        <is>
          <t xml:space="preserve">T&amp;A Activation &amp; Stations</t>
        </is>
      </c>
      <c r="C203" s="14" t="inlineStr">
        <is>
          <t xml:space="preserve">Add-on and station lifecycle</t>
        </is>
      </c>
      <c r="D203" s="14" t="inlineStr">
        <is>
          <t xml:space="preserve">Functional</t>
        </is>
      </c>
      <c r="E203" s="14" t="inlineStr">
        <is>
          <t xml:space="preserve">Deactivate a station</t>
        </is>
      </c>
      <c r="F203" s="14" t="inlineStr">
        <is>
          <t xml:space="preserve">Critical</t>
        </is>
      </c>
      <c r="G203" s="14" t="inlineStr">
        <is>
          <t xml:space="preserve">Medium</t>
        </is>
      </c>
      <c r="H203" s="14" t="inlineStr">
        <is>
          <t xml:space="preserve">Beta</t>
        </is>
      </c>
      <c r="I203" s="14" t="inlineStr">
        <is>
          <t xml:space="preserve">Location exists with Time &amp; Attendance available; test station record exists.</t>
        </is>
      </c>
      <c r="J203" s="14" t="inlineStr">
        <is>
          <t xml:space="preserve">1. Prepare the stated preconditions and sign in with the required role.
2. Navigate to Add-on and station lifecycle.
3. Execute: Deactivate a station.
4. Refresh or reopen the relevant page and inspect persisted data.
5. Verify UI feedback, permissions, notifications and audit records where applicable.</t>
        </is>
      </c>
      <c r="K203" s="14" t="inlineStr">
        <is>
          <t xml:space="preserve">Inactive/active/cancelled station states</t>
        </is>
      </c>
      <c r="L203" s="14" t="inlineStr">
        <is>
          <t xml:space="preserve">New clock-ins are blocked while historical records remain readable.</t>
        </is>
      </c>
      <c r="M203" s="14" t="inlineStr">
        <is>
          <t xml:space="preserve">Candidate</t>
        </is>
      </c>
      <c r="N203" s="14" t="inlineStr">
        <is>
          <t xml:space="preserve">Yes</t>
        </is>
      </c>
      <c r="O203" s="14" t="inlineStr">
        <is>
          <t xml:space="preserve">Active</t>
        </is>
      </c>
      <c r="P203" s="14"/>
    </row>
    <row r="204">
      <c r="A204" s="14" t="inlineStr">
        <is>
          <t xml:space="preserve">RR-0204</t>
        </is>
      </c>
      <c r="B204" s="14" t="inlineStr">
        <is>
          <t xml:space="preserve">T&amp;A Activation &amp; Stations</t>
        </is>
      </c>
      <c r="C204" s="14" t="inlineStr">
        <is>
          <t xml:space="preserve">Add-on and station lifecycle</t>
        </is>
      </c>
      <c r="D204" s="14" t="inlineStr">
        <is>
          <t xml:space="preserve">Billing</t>
        </is>
      </c>
      <c r="E204" s="14" t="inlineStr">
        <is>
          <t xml:space="preserve">Cancel the T&amp;A add-on</t>
        </is>
      </c>
      <c r="F204" s="14" t="inlineStr">
        <is>
          <t xml:space="preserve">Critical</t>
        </is>
      </c>
      <c r="G204" s="14" t="inlineStr">
        <is>
          <t xml:space="preserve">Medium</t>
        </is>
      </c>
      <c r="H204" s="14" t="inlineStr">
        <is>
          <t xml:space="preserve">Beta</t>
        </is>
      </c>
      <c r="I204" s="14" t="inlineStr">
        <is>
          <t xml:space="preserve">Location exists with Time &amp; Attendance available; test station record exists.</t>
        </is>
      </c>
      <c r="J204" s="14" t="inlineStr">
        <is>
          <t xml:space="preserve">1. Prepare the stated preconditions and sign in with the required role.
2. Navigate to Add-on and station lifecycle.
3. Execute: Cancel the T&amp;A add-on.
4. Refresh or reopen the relevant page and inspect persisted data.
5. Verify UI feedback, permissions, notifications and audit records where applicable.</t>
        </is>
      </c>
      <c r="K204" s="14" t="inlineStr">
        <is>
          <t xml:space="preserve">Inactive/active/cancelled station states</t>
        </is>
      </c>
      <c r="L204" s="14" t="inlineStr">
        <is>
          <t xml:space="preserve">Billing stops according to policy, station disables and timesheets become read-only.</t>
        </is>
      </c>
      <c r="M204" s="14" t="inlineStr">
        <is>
          <t xml:space="preserve">Candidate</t>
        </is>
      </c>
      <c r="N204" s="14" t="inlineStr">
        <is>
          <t xml:space="preserve">Yes</t>
        </is>
      </c>
      <c r="O204" s="14" t="inlineStr">
        <is>
          <t xml:space="preserve">Active</t>
        </is>
      </c>
      <c r="P204" s="14"/>
    </row>
    <row r="205">
      <c r="A205" s="14" t="inlineStr">
        <is>
          <t xml:space="preserve">RR-0205</t>
        </is>
      </c>
      <c r="B205" s="14" t="inlineStr">
        <is>
          <t xml:space="preserve">T&amp;A Activation &amp; Stations</t>
        </is>
      </c>
      <c r="C205" s="14" t="inlineStr">
        <is>
          <t xml:space="preserve">Add-on and station lifecycle</t>
        </is>
      </c>
      <c r="D205" s="14" t="inlineStr">
        <is>
          <t xml:space="preserve">Billing</t>
        </is>
      </c>
      <c r="E205" s="14" t="inlineStr">
        <is>
          <t xml:space="preserve">Reactivate a cancelled add-on</t>
        </is>
      </c>
      <c r="F205" s="14" t="inlineStr">
        <is>
          <t xml:space="preserve">High</t>
        </is>
      </c>
      <c r="G205" s="14" t="inlineStr">
        <is>
          <t xml:space="preserve">Medium</t>
        </is>
      </c>
      <c r="H205" s="14" t="inlineStr">
        <is>
          <t xml:space="preserve">Beta</t>
        </is>
      </c>
      <c r="I205" s="14" t="inlineStr">
        <is>
          <t xml:space="preserve">Location exists with Time &amp; Attendance available; test station record exists.</t>
        </is>
      </c>
      <c r="J205" s="14" t="inlineStr">
        <is>
          <t xml:space="preserve">1. Prepare the stated preconditions and sign in with the required role.
2. Navigate to Add-on and station lifecycle.
3. Execute: Reactivate a cancelled add-on.
4. Refresh or reopen the relevant page and inspect persisted data.
5. Verify UI feedback, permissions, notifications and audit records where applicable.</t>
        </is>
      </c>
      <c r="K205" s="14" t="inlineStr">
        <is>
          <t xml:space="preserve">Inactive/active/cancelled station states</t>
        </is>
      </c>
      <c r="L205" s="14" t="inlineStr">
        <is>
          <t xml:space="preserve">Station/timesheet write features return and billing resumes according to documented timing.</t>
        </is>
      </c>
      <c r="M205" s="14" t="inlineStr">
        <is>
          <t xml:space="preserve">Candidate</t>
        </is>
      </c>
      <c r="N205" s="14" t="inlineStr">
        <is>
          <t xml:space="preserve">Yes</t>
        </is>
      </c>
      <c r="O205" s="14" t="inlineStr">
        <is>
          <t xml:space="preserve">Active</t>
        </is>
      </c>
      <c r="P205" s="14"/>
    </row>
    <row r="206">
      <c r="A206" s="14" t="inlineStr">
        <is>
          <t xml:space="preserve">RR-0206</t>
        </is>
      </c>
      <c r="B206" s="14" t="inlineStr">
        <is>
          <t xml:space="preserve">T&amp;A Activation &amp; Stations</t>
        </is>
      </c>
      <c r="C206" s="14" t="inlineStr">
        <is>
          <t xml:space="preserve">Add-on and station lifecycle</t>
        </is>
      </c>
      <c r="D206" s="14" t="inlineStr">
        <is>
          <t xml:space="preserve">Negative</t>
        </is>
      </c>
      <c r="E206" s="14" t="inlineStr">
        <is>
          <t xml:space="preserve">Location is archived while station is active</t>
        </is>
      </c>
      <c r="F206" s="14" t="inlineStr">
        <is>
          <t xml:space="preserve">Critical</t>
        </is>
      </c>
      <c r="G206" s="14" t="inlineStr">
        <is>
          <t xml:space="preserve">Medium</t>
        </is>
      </c>
      <c r="H206" s="14" t="inlineStr">
        <is>
          <t xml:space="preserve">Beta</t>
        </is>
      </c>
      <c r="I206" s="14" t="inlineStr">
        <is>
          <t xml:space="preserve">Location exists with Time &amp; Attendance available; test station record exists.</t>
        </is>
      </c>
      <c r="J206" s="14" t="inlineStr">
        <is>
          <t xml:space="preserve">1. Prepare the stated preconditions and sign in with the required role.
2. Navigate to Add-on and station lifecycle.
3. Execute: Location is archived while station is active.
4. Refresh or reopen the relevant page and inspect persisted data.
5. Verify UI feedback, permissions, notifications and audit records where applicable.</t>
        </is>
      </c>
      <c r="K206" s="14" t="inlineStr">
        <is>
          <t xml:space="preserve">Inactive/active/cancelled station states</t>
        </is>
      </c>
      <c r="L206" s="14" t="inlineStr">
        <is>
          <t xml:space="preserve">Archive is blocked or station/add-on resolution is required.</t>
        </is>
      </c>
      <c r="M206" s="14" t="inlineStr">
        <is>
          <t xml:space="preserve">Candidate</t>
        </is>
      </c>
      <c r="N206" s="14" t="inlineStr">
        <is>
          <t xml:space="preserve">Yes</t>
        </is>
      </c>
      <c r="O206" s="14" t="inlineStr">
        <is>
          <t xml:space="preserve">Active</t>
        </is>
      </c>
      <c r="P206" s="14"/>
    </row>
    <row r="207">
      <c r="A207" s="14" t="inlineStr">
        <is>
          <t xml:space="preserve">RR-0207</t>
        </is>
      </c>
      <c r="B207" s="14" t="inlineStr">
        <is>
          <t xml:space="preserve">T&amp;A Activation &amp; Stations</t>
        </is>
      </c>
      <c r="C207" s="14" t="inlineStr">
        <is>
          <t xml:space="preserve">Add-on and station lifecycle</t>
        </is>
      </c>
      <c r="D207" s="14" t="inlineStr">
        <is>
          <t xml:space="preserve">Security</t>
        </is>
      </c>
      <c r="E207" s="14" t="inlineStr">
        <is>
          <t xml:space="preserve">Station status is viewed by an employee</t>
        </is>
      </c>
      <c r="F207" s="14" t="inlineStr">
        <is>
          <t xml:space="preserve">Critical</t>
        </is>
      </c>
      <c r="G207" s="14" t="inlineStr">
        <is>
          <t xml:space="preserve">Medium</t>
        </is>
      </c>
      <c r="H207" s="14" t="inlineStr">
        <is>
          <t xml:space="preserve">Beta</t>
        </is>
      </c>
      <c r="I207" s="14" t="inlineStr">
        <is>
          <t xml:space="preserve">Location exists with Time &amp; Attendance available; test station record exists.</t>
        </is>
      </c>
      <c r="J207" s="14" t="inlineStr">
        <is>
          <t xml:space="preserve">1. Prepare the stated preconditions and sign in with the required role.
2. Navigate to Add-on and station lifecycle.
3. Execute: Station status is viewed by an employee.
4. Refresh or reopen the relevant page and inspect persisted data.
5. Verify UI feedback, permissions, notifications and audit records where applicable.</t>
        </is>
      </c>
      <c r="K207" s="14" t="inlineStr">
        <is>
          <t xml:space="preserve">Inactive/active/cancelled station states</t>
        </is>
      </c>
      <c r="L207" s="14" t="inlineStr">
        <is>
          <t xml:space="preserve">Sensitive activation keys and admin controls are not exposed.</t>
        </is>
      </c>
      <c r="M207" s="14" t="inlineStr">
        <is>
          <t xml:space="preserve">Candidate</t>
        </is>
      </c>
      <c r="N207" s="14" t="inlineStr">
        <is>
          <t xml:space="preserve">Yes</t>
        </is>
      </c>
      <c r="O207" s="14" t="inlineStr">
        <is>
          <t xml:space="preserve">Active</t>
        </is>
      </c>
      <c r="P207" s="14"/>
    </row>
    <row r="208">
      <c r="A208" s="14" t="inlineStr">
        <is>
          <t xml:space="preserve">RR-0208</t>
        </is>
      </c>
      <c r="B208" s="14" t="inlineStr">
        <is>
          <t xml:space="preserve">T&amp;A Activation &amp; Stations</t>
        </is>
      </c>
      <c r="C208" s="14" t="inlineStr">
        <is>
          <t xml:space="preserve">Add-on and station lifecycle</t>
        </is>
      </c>
      <c r="D208" s="14" t="inlineStr">
        <is>
          <t xml:space="preserve">Security</t>
        </is>
      </c>
      <c r="E208" s="14" t="inlineStr">
        <is>
          <t xml:space="preserve">Rotate a station/card key</t>
        </is>
      </c>
      <c r="F208" s="14" t="inlineStr">
        <is>
          <t xml:space="preserve">Critical</t>
        </is>
      </c>
      <c r="G208" s="14" t="inlineStr">
        <is>
          <t xml:space="preserve">Medium</t>
        </is>
      </c>
      <c r="H208" s="14" t="inlineStr">
        <is>
          <t xml:space="preserve">Beta</t>
        </is>
      </c>
      <c r="I208" s="14" t="inlineStr">
        <is>
          <t xml:space="preserve">Location exists with Time &amp; Attendance available; test station record exists.</t>
        </is>
      </c>
      <c r="J208" s="14" t="inlineStr">
        <is>
          <t xml:space="preserve">1. Prepare the stated preconditions and sign in with the required role.
2. Navigate to Add-on and station lifecycle.
3. Execute: Rotate a station/card key.
4. Refresh or reopen the relevant page and inspect persisted data.
5. Verify UI feedback, permissions, notifications and audit records where applicable.</t>
        </is>
      </c>
      <c r="K208" s="14" t="inlineStr">
        <is>
          <t xml:space="preserve">Inactive/active/cancelled station states</t>
        </is>
      </c>
      <c r="L208" s="14" t="inlineStr">
        <is>
          <t xml:space="preserve">Old credentials stop validating and new credentials work without corrupting historical clock data.</t>
        </is>
      </c>
      <c r="M208" s="14" t="inlineStr">
        <is>
          <t xml:space="preserve">Candidate</t>
        </is>
      </c>
      <c r="N208" s="14" t="inlineStr">
        <is>
          <t xml:space="preserve">Yes</t>
        </is>
      </c>
      <c r="O208" s="14" t="inlineStr">
        <is>
          <t xml:space="preserve">Active</t>
        </is>
      </c>
      <c r="P208" s="14"/>
    </row>
    <row r="209">
      <c r="A209" s="14" t="inlineStr">
        <is>
          <t xml:space="preserve">RR-0209</t>
        </is>
      </c>
      <c r="B209" s="14" t="inlineStr">
        <is>
          <t xml:space="preserve">T&amp;A Activation &amp; Stations</t>
        </is>
      </c>
      <c r="C209" s="14" t="inlineStr">
        <is>
          <t xml:space="preserve">Add-on and station lifecycle</t>
        </is>
      </c>
      <c r="D209" s="14" t="inlineStr">
        <is>
          <t xml:space="preserve">Reliability</t>
        </is>
      </c>
      <c r="E209" s="14" t="inlineStr">
        <is>
          <t xml:space="preserve">Station loses connectivity</t>
        </is>
      </c>
      <c r="F209" s="14" t="inlineStr">
        <is>
          <t xml:space="preserve">High</t>
        </is>
      </c>
      <c r="G209" s="14" t="inlineStr">
        <is>
          <t xml:space="preserve">Medium</t>
        </is>
      </c>
      <c r="H209" s="14" t="inlineStr">
        <is>
          <t xml:space="preserve">Beta</t>
        </is>
      </c>
      <c r="I209" s="14" t="inlineStr">
        <is>
          <t xml:space="preserve">Location exists with Time &amp; Attendance available; test station record exists.</t>
        </is>
      </c>
      <c r="J209" s="14" t="inlineStr">
        <is>
          <t xml:space="preserve">1. Prepare the stated preconditions and sign in with the required role.
2. Navigate to Add-on and station lifecycle.
3. Execute: Station loses connectivity.
4. Refresh or reopen the relevant page and inspect persisted data.
5. Verify UI feedback, permissions, notifications and audit records where applicable.</t>
        </is>
      </c>
      <c r="K209" s="14" t="inlineStr">
        <is>
          <t xml:space="preserve">Inactive/active/cancelled station states</t>
        </is>
      </c>
      <c r="L209" s="14" t="inlineStr">
        <is>
          <t xml:space="preserve">The user sees clear network guidance and no false successful clock event is recorded.</t>
        </is>
      </c>
      <c r="M209" s="14" t="inlineStr">
        <is>
          <t xml:space="preserve">Candidate</t>
        </is>
      </c>
      <c r="N209" s="14" t="inlineStr">
        <is>
          <t xml:space="preserve">Yes</t>
        </is>
      </c>
      <c r="O209" s="14" t="inlineStr">
        <is>
          <t xml:space="preserve">Active</t>
        </is>
      </c>
      <c r="P209" s="14"/>
    </row>
    <row r="210">
      <c r="A210" s="14" t="inlineStr">
        <is>
          <t xml:space="preserve">RR-0210</t>
        </is>
      </c>
      <c r="B210" s="14" t="inlineStr">
        <is>
          <t xml:space="preserve">T&amp;A Activation &amp; Stations</t>
        </is>
      </c>
      <c r="C210" s="14" t="inlineStr">
        <is>
          <t xml:space="preserve">Add-on and station lifecycle</t>
        </is>
      </c>
      <c r="D210" s="14" t="inlineStr">
        <is>
          <t xml:space="preserve">Security</t>
        </is>
      </c>
      <c r="E210" s="14" t="inlineStr">
        <is>
          <t xml:space="preserve">Station clock is incorrect</t>
        </is>
      </c>
      <c r="F210" s="14" t="inlineStr">
        <is>
          <t xml:space="preserve">Critical</t>
        </is>
      </c>
      <c r="G210" s="14" t="inlineStr">
        <is>
          <t xml:space="preserve">Medium</t>
        </is>
      </c>
      <c r="H210" s="14" t="inlineStr">
        <is>
          <t xml:space="preserve">Beta</t>
        </is>
      </c>
      <c r="I210" s="14" t="inlineStr">
        <is>
          <t xml:space="preserve">Location exists with Time &amp; Attendance available; test station record exists.</t>
        </is>
      </c>
      <c r="J210" s="14" t="inlineStr">
        <is>
          <t xml:space="preserve">1. Prepare the stated preconditions and sign in with the required role.
2. Navigate to Add-on and station lifecycle.
3. Execute: Station clock is incorrect.
4. Refresh or reopen the relevant page and inspect persisted data.
5. Verify UI feedback, permissions, notifications and audit records where applicable.</t>
        </is>
      </c>
      <c r="K210" s="14" t="inlineStr">
        <is>
          <t xml:space="preserve">Inactive/active/cancelled station states</t>
        </is>
      </c>
      <c r="L210" s="14" t="inlineStr">
        <is>
          <t xml:space="preserve">Server time remains authoritative for validation and recorded events.</t>
        </is>
      </c>
      <c r="M210" s="14" t="inlineStr">
        <is>
          <t xml:space="preserve">Candidate</t>
        </is>
      </c>
      <c r="N210" s="14" t="inlineStr">
        <is>
          <t xml:space="preserve">Yes</t>
        </is>
      </c>
      <c r="O210" s="14" t="inlineStr">
        <is>
          <t xml:space="preserve">Active</t>
        </is>
      </c>
      <c r="P210" s="14"/>
    </row>
    <row r="211">
      <c r="A211" s="14" t="inlineStr">
        <is>
          <t xml:space="preserve">RR-0211</t>
        </is>
      </c>
      <c r="B211" s="14" t="inlineStr">
        <is>
          <t xml:space="preserve">T&amp;A Activation &amp; Stations</t>
        </is>
      </c>
      <c r="C211" s="14" t="inlineStr">
        <is>
          <t xml:space="preserve">Add-on and station lifecycle</t>
        </is>
      </c>
      <c r="D211" s="14" t="inlineStr">
        <is>
          <t xml:space="preserve">Recovery</t>
        </is>
      </c>
      <c r="E211" s="14" t="inlineStr">
        <is>
          <t xml:space="preserve">Activate during a Stripe/provider outage</t>
        </is>
      </c>
      <c r="F211" s="14" t="inlineStr">
        <is>
          <t xml:space="preserve">Critical</t>
        </is>
      </c>
      <c r="G211" s="14" t="inlineStr">
        <is>
          <t xml:space="preserve">Medium</t>
        </is>
      </c>
      <c r="H211" s="14" t="inlineStr">
        <is>
          <t xml:space="preserve">Beta</t>
        </is>
      </c>
      <c r="I211" s="14" t="inlineStr">
        <is>
          <t xml:space="preserve">Location exists with Time &amp; Attendance available; test station record exists.</t>
        </is>
      </c>
      <c r="J211" s="14" t="inlineStr">
        <is>
          <t xml:space="preserve">1. Prepare the stated preconditions and sign in with the required role.
2. Navigate to Add-on and station lifecycle.
3. Execute: Activate during a Stripe/provider outage.
4. Refresh or reopen the relevant page and inspect persisted data.
5. Verify UI feedback, permissions, notifications and audit records where applicable.</t>
        </is>
      </c>
      <c r="K211" s="14" t="inlineStr">
        <is>
          <t xml:space="preserve">Inactive/active/cancelled station states</t>
        </is>
      </c>
      <c r="L211" s="14" t="inlineStr">
        <is>
          <t xml:space="preserve">Activation and billing remain consistent or roll back cleanly.</t>
        </is>
      </c>
      <c r="M211" s="14" t="inlineStr">
        <is>
          <t xml:space="preserve">Candidate</t>
        </is>
      </c>
      <c r="N211" s="14" t="inlineStr">
        <is>
          <t xml:space="preserve">Yes</t>
        </is>
      </c>
      <c r="O211" s="14" t="inlineStr">
        <is>
          <t xml:space="preserve">Active</t>
        </is>
      </c>
      <c r="P211" s="14"/>
    </row>
    <row r="212">
      <c r="A212" s="14" t="inlineStr">
        <is>
          <t xml:space="preserve">RR-0212</t>
        </is>
      </c>
      <c r="B212" s="14" t="inlineStr">
        <is>
          <t xml:space="preserve">T&amp;A Activation &amp; Stations</t>
        </is>
      </c>
      <c r="C212" s="14" t="inlineStr">
        <is>
          <t xml:space="preserve">Add-on and station lifecycle</t>
        </is>
      </c>
      <c r="D212" s="14" t="inlineStr">
        <is>
          <t xml:space="preserve">Functional</t>
        </is>
      </c>
      <c r="E212" s="14" t="inlineStr">
        <is>
          <t xml:space="preserve">Admin views station health</t>
        </is>
      </c>
      <c r="F212" s="14" t="inlineStr">
        <is>
          <t xml:space="preserve">High</t>
        </is>
      </c>
      <c r="G212" s="14" t="inlineStr">
        <is>
          <t xml:space="preserve">Medium</t>
        </is>
      </c>
      <c r="H212" s="14" t="inlineStr">
        <is>
          <t xml:space="preserve">Beta</t>
        </is>
      </c>
      <c r="I212" s="14" t="inlineStr">
        <is>
          <t xml:space="preserve">Location exists with Time &amp; Attendance available; test station record exists.</t>
        </is>
      </c>
      <c r="J212" s="14" t="inlineStr">
        <is>
          <t xml:space="preserve">1. Prepare the stated preconditions and sign in with the required role.
2. Navigate to Add-on and station lifecycle.
3. Execute: Admin views station health.
4. Refresh or reopen the relevant page and inspect persisted data.
5. Verify UI feedback, permissions, notifications and audit records where applicable.</t>
        </is>
      </c>
      <c r="K212" s="14" t="inlineStr">
        <is>
          <t xml:space="preserve">Inactive/active/cancelled station states</t>
        </is>
      </c>
      <c r="L212" s="14" t="inlineStr">
        <is>
          <t xml:space="preserve">Last seen, location, state and error information are accurate and access controlled.</t>
        </is>
      </c>
      <c r="M212" s="14" t="inlineStr">
        <is>
          <t xml:space="preserve">Candidate</t>
        </is>
      </c>
      <c r="N212" s="14" t="inlineStr">
        <is>
          <t xml:space="preserve">Yes</t>
        </is>
      </c>
      <c r="O212" s="14" t="inlineStr">
        <is>
          <t xml:space="preserve">Active</t>
        </is>
      </c>
      <c r="P212" s="14"/>
    </row>
    <row r="213">
      <c r="A213" s="14" t="inlineStr">
        <is>
          <t xml:space="preserve">RR-0213</t>
        </is>
      </c>
      <c r="B213" s="14" t="inlineStr">
        <is>
          <t xml:space="preserve">NFC Clock-in Security</t>
        </is>
      </c>
      <c r="C213" s="14" t="inlineStr">
        <is>
          <t xml:space="preserve">SUN URL and card validation</t>
        </is>
      </c>
      <c r="D213" s="14" t="inlineStr">
        <is>
          <t xml:space="preserve">Integration</t>
        </is>
      </c>
      <c r="E213" s="14" t="inlineStr">
        <is>
          <t xml:space="preserve">Tap a correctly configured NTAG 424 DNA card</t>
        </is>
      </c>
      <c r="F213" s="14" t="inlineStr">
        <is>
          <t xml:space="preserve">Critical</t>
        </is>
      </c>
      <c r="G213" s="14" t="inlineStr">
        <is>
          <t xml:space="preserve">Medium</t>
        </is>
      </c>
      <c r="H213" s="14" t="inlineStr">
        <is>
          <t xml:space="preserve">Beta</t>
        </is>
      </c>
      <c r="I213" s="14" t="inlineStr">
        <is>
          <t xml:space="preserve">Activated station linked to a location; NTAG 424 DNA test card and test employee account.</t>
        </is>
      </c>
      <c r="J213" s="14" t="inlineStr">
        <is>
          <t xml:space="preserve">1. Prepare the stated preconditions and sign in with the required role.
2. Navigate to SUN URL and card validation.
3. Execute: Tap a correctly configured NTAG 424 DNA card.
4. Refresh or reopen the relevant page and inspect persisted data.
5. Verify UI feedback, permissions, notifications and audit records where applicable.</t>
        </is>
      </c>
      <c r="K213" s="14" t="inlineStr">
        <is>
          <t xml:space="preserve">Valid, reused, expired and tampered SUN URLs/counters</t>
        </is>
      </c>
      <c r="L213" s="14" t="inlineStr">
        <is>
          <t xml:space="preserve">Dynamic URL validates and opens the clock page for the linked location.</t>
        </is>
      </c>
      <c r="M213" s="14" t="inlineStr">
        <is>
          <t xml:space="preserve">Candidate</t>
        </is>
      </c>
      <c r="N213" s="14" t="inlineStr">
        <is>
          <t xml:space="preserve">Yes</t>
        </is>
      </c>
      <c r="O213" s="14" t="inlineStr">
        <is>
          <t xml:space="preserve">Active</t>
        </is>
      </c>
      <c r="P213" s="14"/>
    </row>
    <row r="214">
      <c r="A214" s="14" t="inlineStr">
        <is>
          <t xml:space="preserve">RR-0214</t>
        </is>
      </c>
      <c r="B214" s="14" t="inlineStr">
        <is>
          <t xml:space="preserve">NFC Clock-in Security</t>
        </is>
      </c>
      <c r="C214" s="14" t="inlineStr">
        <is>
          <t xml:space="preserve">SUN URL and card validation</t>
        </is>
      </c>
      <c r="D214" s="14" t="inlineStr">
        <is>
          <t xml:space="preserve">Security</t>
        </is>
      </c>
      <c r="E214" s="14" t="inlineStr">
        <is>
          <t xml:space="preserve">Tamper with encrypted PICC data parameter</t>
        </is>
      </c>
      <c r="F214" s="14" t="inlineStr">
        <is>
          <t xml:space="preserve">Critical</t>
        </is>
      </c>
      <c r="G214" s="14" t="inlineStr">
        <is>
          <t xml:space="preserve">Medium</t>
        </is>
      </c>
      <c r="H214" s="14" t="inlineStr">
        <is>
          <t xml:space="preserve">Beta</t>
        </is>
      </c>
      <c r="I214" s="14" t="inlineStr">
        <is>
          <t xml:space="preserve">Activated station linked to a location; NTAG 424 DNA test card and test employee account.</t>
        </is>
      </c>
      <c r="J214" s="14" t="inlineStr">
        <is>
          <t xml:space="preserve">1. Prepare the stated preconditions and sign in with the required role.
2. Navigate to SUN URL and card validation.
3. Execute: Tamper with encrypted PICC data parameter.
4. Refresh or reopen the relevant page and inspect persisted data.
5. Verify UI feedback, permissions, notifications and audit records where applicable.</t>
        </is>
      </c>
      <c r="K214" s="14" t="inlineStr">
        <is>
          <t xml:space="preserve">Valid, reused, expired and tampered SUN URLs/counters</t>
        </is>
      </c>
      <c r="L214" s="14" t="inlineStr">
        <is>
          <t xml:space="preserve">CMAC/decryption validation fails and no clock action is offered.</t>
        </is>
      </c>
      <c r="M214" s="14" t="inlineStr">
        <is>
          <t xml:space="preserve">Candidate</t>
        </is>
      </c>
      <c r="N214" s="14" t="inlineStr">
        <is>
          <t xml:space="preserve">Yes</t>
        </is>
      </c>
      <c r="O214" s="14" t="inlineStr">
        <is>
          <t xml:space="preserve">Active</t>
        </is>
      </c>
      <c r="P214" s="14"/>
    </row>
    <row r="215">
      <c r="A215" s="14" t="inlineStr">
        <is>
          <t xml:space="preserve">RR-0215</t>
        </is>
      </c>
      <c r="B215" s="14" t="inlineStr">
        <is>
          <t xml:space="preserve">NFC Clock-in Security</t>
        </is>
      </c>
      <c r="C215" s="14" t="inlineStr">
        <is>
          <t xml:space="preserve">SUN URL and card validation</t>
        </is>
      </c>
      <c r="D215" s="14" t="inlineStr">
        <is>
          <t xml:space="preserve">Security</t>
        </is>
      </c>
      <c r="E215" s="14" t="inlineStr">
        <is>
          <t xml:space="preserve">Tamper with CMAC</t>
        </is>
      </c>
      <c r="F215" s="14" t="inlineStr">
        <is>
          <t xml:space="preserve">Critical</t>
        </is>
      </c>
      <c r="G215" s="14" t="inlineStr">
        <is>
          <t xml:space="preserve">Medium</t>
        </is>
      </c>
      <c r="H215" s="14" t="inlineStr">
        <is>
          <t xml:space="preserve">Beta</t>
        </is>
      </c>
      <c r="I215" s="14" t="inlineStr">
        <is>
          <t xml:space="preserve">Activated station linked to a location; NTAG 424 DNA test card and test employee account.</t>
        </is>
      </c>
      <c r="J215" s="14" t="inlineStr">
        <is>
          <t xml:space="preserve">1. Prepare the stated preconditions and sign in with the required role.
2. Navigate to SUN URL and card validation.
3. Execute: Tamper with CMAC.
4. Refresh or reopen the relevant page and inspect persisted data.
5. Verify UI feedback, permissions, notifications and audit records where applicable.</t>
        </is>
      </c>
      <c r="K215" s="14" t="inlineStr">
        <is>
          <t xml:space="preserve">Valid, reused, expired and tampered SUN URLs/counters</t>
        </is>
      </c>
      <c r="L215" s="14" t="inlineStr">
        <is>
          <t xml:space="preserve">Request is rejected without exposing cryptographic details.</t>
        </is>
      </c>
      <c r="M215" s="14" t="inlineStr">
        <is>
          <t xml:space="preserve">Candidate</t>
        </is>
      </c>
      <c r="N215" s="14" t="inlineStr">
        <is>
          <t xml:space="preserve">Yes</t>
        </is>
      </c>
      <c r="O215" s="14" t="inlineStr">
        <is>
          <t xml:space="preserve">Active</t>
        </is>
      </c>
      <c r="P215" s="14"/>
    </row>
    <row r="216">
      <c r="A216" s="14" t="inlineStr">
        <is>
          <t xml:space="preserve">RR-0216</t>
        </is>
      </c>
      <c r="B216" s="14" t="inlineStr">
        <is>
          <t xml:space="preserve">NFC Clock-in Security</t>
        </is>
      </c>
      <c r="C216" s="14" t="inlineStr">
        <is>
          <t xml:space="preserve">SUN URL and card validation</t>
        </is>
      </c>
      <c r="D216" s="14" t="inlineStr">
        <is>
          <t xml:space="preserve">Negative</t>
        </is>
      </c>
      <c r="E216" s="14" t="inlineStr">
        <is>
          <t xml:space="preserve">Use a URL with missing required parameters</t>
        </is>
      </c>
      <c r="F216" s="14" t="inlineStr">
        <is>
          <t xml:space="preserve">High</t>
        </is>
      </c>
      <c r="G216" s="14" t="inlineStr">
        <is>
          <t xml:space="preserve">Medium</t>
        </is>
      </c>
      <c r="H216" s="14" t="inlineStr">
        <is>
          <t xml:space="preserve">Beta</t>
        </is>
      </c>
      <c r="I216" s="14" t="inlineStr">
        <is>
          <t xml:space="preserve">Activated station linked to a location; NTAG 424 DNA test card and test employee account.</t>
        </is>
      </c>
      <c r="J216" s="14" t="inlineStr">
        <is>
          <t xml:space="preserve">1. Prepare the stated preconditions and sign in with the required role.
2. Navigate to SUN URL and card validation.
3. Execute: Use a URL with missing required parameters.
4. Refresh or reopen the relevant page and inspect persisted data.
5. Verify UI feedback, permissions, notifications and audit records where applicable.</t>
        </is>
      </c>
      <c r="K216" s="14" t="inlineStr">
        <is>
          <t xml:space="preserve">Valid, reused, expired and tampered SUN URLs/counters</t>
        </is>
      </c>
      <c r="L216" s="14" t="inlineStr">
        <is>
          <t xml:space="preserve">Request is rejected with safe user guidance.</t>
        </is>
      </c>
      <c r="M216" s="14" t="inlineStr">
        <is>
          <t xml:space="preserve">Candidate</t>
        </is>
      </c>
      <c r="N216" s="14" t="inlineStr">
        <is>
          <t xml:space="preserve">Yes</t>
        </is>
      </c>
      <c r="O216" s="14" t="inlineStr">
        <is>
          <t xml:space="preserve">Active</t>
        </is>
      </c>
      <c r="P216" s="14"/>
    </row>
    <row r="217">
      <c r="A217" s="14" t="inlineStr">
        <is>
          <t xml:space="preserve">RR-0217</t>
        </is>
      </c>
      <c r="B217" s="14" t="inlineStr">
        <is>
          <t xml:space="preserve">NFC Clock-in Security</t>
        </is>
      </c>
      <c r="C217" s="14" t="inlineStr">
        <is>
          <t xml:space="preserve">SUN URL and card validation</t>
        </is>
      </c>
      <c r="D217" s="14" t="inlineStr">
        <is>
          <t xml:space="preserve">Security</t>
        </is>
      </c>
      <c r="E217" s="14" t="inlineStr">
        <is>
          <t xml:space="preserve">Replay an already-used counter</t>
        </is>
      </c>
      <c r="F217" s="14" t="inlineStr">
        <is>
          <t xml:space="preserve">Critical</t>
        </is>
      </c>
      <c r="G217" s="14" t="inlineStr">
        <is>
          <t xml:space="preserve">Medium</t>
        </is>
      </c>
      <c r="H217" s="14" t="inlineStr">
        <is>
          <t xml:space="preserve">Beta</t>
        </is>
      </c>
      <c r="I217" s="14" t="inlineStr">
        <is>
          <t xml:space="preserve">Activated station linked to a location; NTAG 424 DNA test card and test employee account.</t>
        </is>
      </c>
      <c r="J217" s="14" t="inlineStr">
        <is>
          <t xml:space="preserve">1. Prepare the stated preconditions and sign in with the required role.
2. Navigate to SUN URL and card validation.
3. Execute: Replay an already-used counter.
4. Refresh or reopen the relevant page and inspect persisted data.
5. Verify UI feedback, permissions, notifications and audit records where applicable.</t>
        </is>
      </c>
      <c r="K217" s="14" t="inlineStr">
        <is>
          <t xml:space="preserve">Valid, reused, expired and tampered SUN URLs/counters</t>
        </is>
      </c>
      <c r="L217" s="14" t="inlineStr">
        <is>
          <t xml:space="preserve">Replay is rejected and no second clock event is created.</t>
        </is>
      </c>
      <c r="M217" s="14" t="inlineStr">
        <is>
          <t xml:space="preserve">Candidate</t>
        </is>
      </c>
      <c r="N217" s="14" t="inlineStr">
        <is>
          <t xml:space="preserve">Yes</t>
        </is>
      </c>
      <c r="O217" s="14" t="inlineStr">
        <is>
          <t xml:space="preserve">Active</t>
        </is>
      </c>
      <c r="P217" s="14"/>
    </row>
    <row r="218">
      <c r="A218" s="14" t="inlineStr">
        <is>
          <t xml:space="preserve">RR-0218</t>
        </is>
      </c>
      <c r="B218" s="14" t="inlineStr">
        <is>
          <t xml:space="preserve">NFC Clock-in Security</t>
        </is>
      </c>
      <c r="C218" s="14" t="inlineStr">
        <is>
          <t xml:space="preserve">SUN URL and card validation</t>
        </is>
      </c>
      <c r="D218" s="14" t="inlineStr">
        <is>
          <t xml:space="preserve">Security</t>
        </is>
      </c>
      <c r="E218" s="14" t="inlineStr">
        <is>
          <t xml:space="preserve">Use a valid but expired tap URL</t>
        </is>
      </c>
      <c r="F218" s="14" t="inlineStr">
        <is>
          <t xml:space="preserve">Critical</t>
        </is>
      </c>
      <c r="G218" s="14" t="inlineStr">
        <is>
          <t xml:space="preserve">Medium</t>
        </is>
      </c>
      <c r="H218" s="14" t="inlineStr">
        <is>
          <t xml:space="preserve">Beta</t>
        </is>
      </c>
      <c r="I218" s="14" t="inlineStr">
        <is>
          <t xml:space="preserve">Activated station linked to a location; NTAG 424 DNA test card and test employee account.</t>
        </is>
      </c>
      <c r="J218" s="14" t="inlineStr">
        <is>
          <t xml:space="preserve">1. Prepare the stated preconditions and sign in with the required role.
2. Navigate to SUN URL and card validation.
3. Execute: Use a valid but expired tap URL.
4. Refresh or reopen the relevant page and inspect persisted data.
5. Verify UI feedback, permissions, notifications and audit records where applicable.</t>
        </is>
      </c>
      <c r="K218" s="14" t="inlineStr">
        <is>
          <t xml:space="preserve">Valid, reused, expired and tampered SUN URLs/counters</t>
        </is>
      </c>
      <c r="L218" s="14" t="inlineStr">
        <is>
          <t xml:space="preserve">TTL validation rejects the URL.</t>
        </is>
      </c>
      <c r="M218" s="14" t="inlineStr">
        <is>
          <t xml:space="preserve">Candidate</t>
        </is>
      </c>
      <c r="N218" s="14" t="inlineStr">
        <is>
          <t xml:space="preserve">Yes</t>
        </is>
      </c>
      <c r="O218" s="14" t="inlineStr">
        <is>
          <t xml:space="preserve">Active</t>
        </is>
      </c>
      <c r="P218" s="14"/>
    </row>
    <row r="219">
      <c r="A219" s="14" t="inlineStr">
        <is>
          <t xml:space="preserve">RR-0219</t>
        </is>
      </c>
      <c r="B219" s="14" t="inlineStr">
        <is>
          <t xml:space="preserve">NFC Clock-in Security</t>
        </is>
      </c>
      <c r="C219" s="14" t="inlineStr">
        <is>
          <t xml:space="preserve">SUN URL and card validation</t>
        </is>
      </c>
      <c r="D219" s="14" t="inlineStr">
        <is>
          <t xml:space="preserve">Concurrency</t>
        </is>
      </c>
      <c r="E219" s="14" t="inlineStr">
        <is>
          <t xml:space="preserve">Use two distinct valid taps in quick succession</t>
        </is>
      </c>
      <c r="F219" s="14" t="inlineStr">
        <is>
          <t xml:space="preserve">Critical</t>
        </is>
      </c>
      <c r="G219" s="14" t="inlineStr">
        <is>
          <t xml:space="preserve">Medium</t>
        </is>
      </c>
      <c r="H219" s="14" t="inlineStr">
        <is>
          <t xml:space="preserve">Beta</t>
        </is>
      </c>
      <c r="I219" s="14" t="inlineStr">
        <is>
          <t xml:space="preserve">Activated station linked to a location; NTAG 424 DNA test card and test employee account.</t>
        </is>
      </c>
      <c r="J219" s="14" t="inlineStr">
        <is>
          <t xml:space="preserve">1. Prepare the stated preconditions and sign in with the required role.
2. Navigate to SUN URL and card validation.
3. Execute: Use two distinct valid taps in quick succession.
4. Refresh or reopen the relevant page and inspect persisted data.
5. Verify UI feedback, permissions, notifications and audit records where applicable.</t>
        </is>
      </c>
      <c r="K219" s="14" t="inlineStr">
        <is>
          <t xml:space="preserve">Valid, reused, expired and tampered SUN URLs/counters</t>
        </is>
      </c>
      <c r="L219" s="14" t="inlineStr">
        <is>
          <t xml:space="preserve">Unique counters are accepted independently and each can be consumed once.</t>
        </is>
      </c>
      <c r="M219" s="14" t="inlineStr">
        <is>
          <t xml:space="preserve">Candidate</t>
        </is>
      </c>
      <c r="N219" s="14" t="inlineStr">
        <is>
          <t xml:space="preserve">Yes</t>
        </is>
      </c>
      <c r="O219" s="14" t="inlineStr">
        <is>
          <t xml:space="preserve">Active</t>
        </is>
      </c>
      <c r="P219" s="14"/>
    </row>
    <row r="220">
      <c r="A220" s="14" t="inlineStr">
        <is>
          <t xml:space="preserve">RR-0220</t>
        </is>
      </c>
      <c r="B220" s="14" t="inlineStr">
        <is>
          <t xml:space="preserve">NFC Clock-in Security</t>
        </is>
      </c>
      <c r="C220" s="14" t="inlineStr">
        <is>
          <t xml:space="preserve">SUN URL and card validation</t>
        </is>
      </c>
      <c r="D220" s="14" t="inlineStr">
        <is>
          <t xml:space="preserve">Security</t>
        </is>
      </c>
      <c r="E220" s="14" t="inlineStr">
        <is>
          <t xml:space="preserve">Receive a counter lower than the stored monotonic value</t>
        </is>
      </c>
      <c r="F220" s="14" t="inlineStr">
        <is>
          <t xml:space="preserve">Critical</t>
        </is>
      </c>
      <c r="G220" s="14" t="inlineStr">
        <is>
          <t xml:space="preserve">Medium</t>
        </is>
      </c>
      <c r="H220" s="14" t="inlineStr">
        <is>
          <t xml:space="preserve">Beta</t>
        </is>
      </c>
      <c r="I220" s="14" t="inlineStr">
        <is>
          <t xml:space="preserve">Activated station linked to a location; NTAG 424 DNA test card and test employee account.</t>
        </is>
      </c>
      <c r="J220" s="14" t="inlineStr">
        <is>
          <t xml:space="preserve">1. Prepare the stated preconditions and sign in with the required role.
2. Navigate to SUN URL and card validation.
3. Execute: Receive a counter lower than the stored monotonic value.
4. Refresh or reopen the relevant page and inspect persisted data.
5. Verify UI feedback, permissions, notifications and audit records where applicable.</t>
        </is>
      </c>
      <c r="K220" s="14" t="inlineStr">
        <is>
          <t xml:space="preserve">Valid, reused, expired and tampered SUN URLs/counters</t>
        </is>
      </c>
      <c r="L220" s="14" t="inlineStr">
        <is>
          <t xml:space="preserve">Request is rejected as replay/out-of-order according to policy.</t>
        </is>
      </c>
      <c r="M220" s="14" t="inlineStr">
        <is>
          <t xml:space="preserve">Candidate</t>
        </is>
      </c>
      <c r="N220" s="14" t="inlineStr">
        <is>
          <t xml:space="preserve">Yes</t>
        </is>
      </c>
      <c r="O220" s="14" t="inlineStr">
        <is>
          <t xml:space="preserve">Active</t>
        </is>
      </c>
      <c r="P220" s="14"/>
    </row>
    <row r="221">
      <c r="A221" s="14" t="inlineStr">
        <is>
          <t xml:space="preserve">RR-0221</t>
        </is>
      </c>
      <c r="B221" s="14" t="inlineStr">
        <is>
          <t xml:space="preserve">NFC Clock-in Security</t>
        </is>
      </c>
      <c r="C221" s="14" t="inlineStr">
        <is>
          <t xml:space="preserve">SUN URL and card validation</t>
        </is>
      </c>
      <c r="D221" s="14" t="inlineStr">
        <is>
          <t xml:space="preserve">Boundary</t>
        </is>
      </c>
      <c r="E221" s="14" t="inlineStr">
        <is>
          <t xml:space="preserve">Counter approaches rollover boundary</t>
        </is>
      </c>
      <c r="F221" s="14" t="inlineStr">
        <is>
          <t xml:space="preserve">High</t>
        </is>
      </c>
      <c r="G221" s="14" t="inlineStr">
        <is>
          <t xml:space="preserve">Medium</t>
        </is>
      </c>
      <c r="H221" s="14" t="inlineStr">
        <is>
          <t xml:space="preserve">Beta</t>
        </is>
      </c>
      <c r="I221" s="14" t="inlineStr">
        <is>
          <t xml:space="preserve">Activated station linked to a location; NTAG 424 DNA test card and test employee account.</t>
        </is>
      </c>
      <c r="J221" s="14" t="inlineStr">
        <is>
          <t xml:space="preserve">1. Prepare the stated preconditions and sign in with the required role.
2. Navigate to SUN URL and card validation.
3. Execute: Counter approaches rollover boundary.
4. Refresh or reopen the relevant page and inspect persisted data.
5. Verify UI feedback, permissions, notifications and audit records where applicable.</t>
        </is>
      </c>
      <c r="K221" s="14" t="inlineStr">
        <is>
          <t xml:space="preserve">Valid, reused, expired and tampered SUN URLs/counters</t>
        </is>
      </c>
      <c r="L221" s="14" t="inlineStr">
        <is>
          <t xml:space="preserve">System handles the documented counter range safely and raises operational alerts before failure.</t>
        </is>
      </c>
      <c r="M221" s="14" t="inlineStr">
        <is>
          <t xml:space="preserve">Candidate</t>
        </is>
      </c>
      <c r="N221" s="14" t="inlineStr">
        <is>
          <t xml:space="preserve">Yes</t>
        </is>
      </c>
      <c r="O221" s="14" t="inlineStr">
        <is>
          <t xml:space="preserve">Active</t>
        </is>
      </c>
      <c r="P221" s="14"/>
    </row>
    <row r="222">
      <c r="A222" s="14" t="inlineStr">
        <is>
          <t xml:space="preserve">RR-0222</t>
        </is>
      </c>
      <c r="B222" s="14" t="inlineStr">
        <is>
          <t xml:space="preserve">NFC Clock-in Security</t>
        </is>
      </c>
      <c r="C222" s="14" t="inlineStr">
        <is>
          <t xml:space="preserve">SUN URL and card validation</t>
        </is>
      </c>
      <c r="D222" s="14" t="inlineStr">
        <is>
          <t xml:space="preserve">Security</t>
        </is>
      </c>
      <c r="E222" s="14" t="inlineStr">
        <is>
          <t xml:space="preserve">Card UID/public identifier is not linked to a station</t>
        </is>
      </c>
      <c r="F222" s="14" t="inlineStr">
        <is>
          <t xml:space="preserve">Critical</t>
        </is>
      </c>
      <c r="G222" s="14" t="inlineStr">
        <is>
          <t xml:space="preserve">Medium</t>
        </is>
      </c>
      <c r="H222" s="14" t="inlineStr">
        <is>
          <t xml:space="preserve">Beta</t>
        </is>
      </c>
      <c r="I222" s="14" t="inlineStr">
        <is>
          <t xml:space="preserve">Activated station linked to a location; NTAG 424 DNA test card and test employee account.</t>
        </is>
      </c>
      <c r="J222" s="14" t="inlineStr">
        <is>
          <t xml:space="preserve">1. Prepare the stated preconditions and sign in with the required role.
2. Navigate to SUN URL and card validation.
3. Execute: Card UID/public identifier is not linked to a station.
4. Refresh or reopen the relevant page and inspect persisted data.
5. Verify UI feedback, permissions, notifications and audit records where applicable.</t>
        </is>
      </c>
      <c r="K222" s="14" t="inlineStr">
        <is>
          <t xml:space="preserve">Valid, reused, expired and tampered SUN URLs/counters</t>
        </is>
      </c>
      <c r="L222" s="14" t="inlineStr">
        <is>
          <t xml:space="preserve">Request is rejected and no location metadata is leaked.</t>
        </is>
      </c>
      <c r="M222" s="14" t="inlineStr">
        <is>
          <t xml:space="preserve">Candidate</t>
        </is>
      </c>
      <c r="N222" s="14" t="inlineStr">
        <is>
          <t xml:space="preserve">Yes</t>
        </is>
      </c>
      <c r="O222" s="14" t="inlineStr">
        <is>
          <t xml:space="preserve">Active</t>
        </is>
      </c>
      <c r="P222" s="14"/>
    </row>
    <row r="223">
      <c r="A223" s="14" t="inlineStr">
        <is>
          <t xml:space="preserve">RR-0223</t>
        </is>
      </c>
      <c r="B223" s="14" t="inlineStr">
        <is>
          <t xml:space="preserve">NFC Clock-in Security</t>
        </is>
      </c>
      <c r="C223" s="14" t="inlineStr">
        <is>
          <t xml:space="preserve">SUN URL and card validation</t>
        </is>
      </c>
      <c r="D223" s="14" t="inlineStr">
        <is>
          <t xml:space="preserve">Security</t>
        </is>
      </c>
      <c r="E223" s="14" t="inlineStr">
        <is>
          <t xml:space="preserve">Card is linked to a disabled station</t>
        </is>
      </c>
      <c r="F223" s="14" t="inlineStr">
        <is>
          <t xml:space="preserve">Critical</t>
        </is>
      </c>
      <c r="G223" s="14" t="inlineStr">
        <is>
          <t xml:space="preserve">Medium</t>
        </is>
      </c>
      <c r="H223" s="14" t="inlineStr">
        <is>
          <t xml:space="preserve">Beta</t>
        </is>
      </c>
      <c r="I223" s="14" t="inlineStr">
        <is>
          <t xml:space="preserve">Activated station linked to a location; NTAG 424 DNA test card and test employee account.</t>
        </is>
      </c>
      <c r="J223" s="14" t="inlineStr">
        <is>
          <t xml:space="preserve">1. Prepare the stated preconditions and sign in with the required role.
2. Navigate to SUN URL and card validation.
3. Execute: Card is linked to a disabled station.
4. Refresh or reopen the relevant page and inspect persisted data.
5. Verify UI feedback, permissions, notifications and audit records where applicable.</t>
        </is>
      </c>
      <c r="K223" s="14" t="inlineStr">
        <is>
          <t xml:space="preserve">Valid, reused, expired and tampered SUN URLs/counters</t>
        </is>
      </c>
      <c r="L223" s="14" t="inlineStr">
        <is>
          <t xml:space="preserve">Clock action is blocked.</t>
        </is>
      </c>
      <c r="M223" s="14" t="inlineStr">
        <is>
          <t xml:space="preserve">Candidate</t>
        </is>
      </c>
      <c r="N223" s="14" t="inlineStr">
        <is>
          <t xml:space="preserve">Yes</t>
        </is>
      </c>
      <c r="O223" s="14" t="inlineStr">
        <is>
          <t xml:space="preserve">Active</t>
        </is>
      </c>
      <c r="P223" s="14"/>
    </row>
    <row r="224">
      <c r="A224" s="14" t="inlineStr">
        <is>
          <t xml:space="preserve">RR-0224</t>
        </is>
      </c>
      <c r="B224" s="14" t="inlineStr">
        <is>
          <t xml:space="preserve">NFC Clock-in Security</t>
        </is>
      </c>
      <c r="C224" s="14" t="inlineStr">
        <is>
          <t xml:space="preserve">SUN URL and card validation</t>
        </is>
      </c>
      <c r="D224" s="14" t="inlineStr">
        <is>
          <t xml:space="preserve">Security</t>
        </is>
      </c>
      <c r="E224" s="14" t="inlineStr">
        <is>
          <t xml:space="preserve">Card is linked to the wrong location</t>
        </is>
      </c>
      <c r="F224" s="14" t="inlineStr">
        <is>
          <t xml:space="preserve">Critical</t>
        </is>
      </c>
      <c r="G224" s="14" t="inlineStr">
        <is>
          <t xml:space="preserve">Medium</t>
        </is>
      </c>
      <c r="H224" s="14" t="inlineStr">
        <is>
          <t xml:space="preserve">Beta</t>
        </is>
      </c>
      <c r="I224" s="14" t="inlineStr">
        <is>
          <t xml:space="preserve">Activated station linked to a location; NTAG 424 DNA test card and test employee account.</t>
        </is>
      </c>
      <c r="J224" s="14" t="inlineStr">
        <is>
          <t xml:space="preserve">1. Prepare the stated preconditions and sign in with the required role.
2. Navigate to SUN URL and card validation.
3. Execute: Card is linked to the wrong location.
4. Refresh or reopen the relevant page and inspect persisted data.
5. Verify UI feedback, permissions, notifications and audit records where applicable.</t>
        </is>
      </c>
      <c r="K224" s="14" t="inlineStr">
        <is>
          <t xml:space="preserve">Valid, reused, expired and tampered SUN URLs/counters</t>
        </is>
      </c>
      <c r="L224" s="14" t="inlineStr">
        <is>
          <t xml:space="preserve">Employee cannot clock into another location through manipulated routing.</t>
        </is>
      </c>
      <c r="M224" s="14" t="inlineStr">
        <is>
          <t xml:space="preserve">Candidate</t>
        </is>
      </c>
      <c r="N224" s="14" t="inlineStr">
        <is>
          <t xml:space="preserve">Yes</t>
        </is>
      </c>
      <c r="O224" s="14" t="inlineStr">
        <is>
          <t xml:space="preserve">Active</t>
        </is>
      </c>
      <c r="P224" s="14"/>
    </row>
    <row r="225">
      <c r="A225" s="14" t="inlineStr">
        <is>
          <t xml:space="preserve">RR-0225</t>
        </is>
      </c>
      <c r="B225" s="14" t="inlineStr">
        <is>
          <t xml:space="preserve">NFC Clock-in Security</t>
        </is>
      </c>
      <c r="C225" s="14" t="inlineStr">
        <is>
          <t xml:space="preserve">SUN URL and card validation</t>
        </is>
      </c>
      <c r="D225" s="14" t="inlineStr">
        <is>
          <t xml:space="preserve">Security</t>
        </is>
      </c>
      <c r="E225" s="14" t="inlineStr">
        <is>
          <t xml:space="preserve">Cryptographic key is incorrect in the environment</t>
        </is>
      </c>
      <c r="F225" s="14" t="inlineStr">
        <is>
          <t xml:space="preserve">Critical</t>
        </is>
      </c>
      <c r="G225" s="14" t="inlineStr">
        <is>
          <t xml:space="preserve">Medium</t>
        </is>
      </c>
      <c r="H225" s="14" t="inlineStr">
        <is>
          <t xml:space="preserve">Beta</t>
        </is>
      </c>
      <c r="I225" s="14" t="inlineStr">
        <is>
          <t xml:space="preserve">Activated station linked to a location; NTAG 424 DNA test card and test employee account.</t>
        </is>
      </c>
      <c r="J225" s="14" t="inlineStr">
        <is>
          <t xml:space="preserve">1. Prepare the stated preconditions and sign in with the required role.
2. Navigate to SUN URL and card validation.
3. Execute: Cryptographic key is incorrect in the environment.
4. Refresh or reopen the relevant page and inspect persisted data.
5. Verify UI feedback, permissions, notifications and audit records where applicable.</t>
        </is>
      </c>
      <c r="K225" s="14" t="inlineStr">
        <is>
          <t xml:space="preserve">Valid, reused, expired and tampered SUN URLs/counters</t>
        </is>
      </c>
      <c r="L225" s="14" t="inlineStr">
        <is>
          <t xml:space="preserve">All validations fail closed and monitoring alerts the configuration issue.</t>
        </is>
      </c>
      <c r="M225" s="14" t="inlineStr">
        <is>
          <t xml:space="preserve">Candidate</t>
        </is>
      </c>
      <c r="N225" s="14" t="inlineStr">
        <is>
          <t xml:space="preserve">Yes</t>
        </is>
      </c>
      <c r="O225" s="14" t="inlineStr">
        <is>
          <t xml:space="preserve">Active</t>
        </is>
      </c>
      <c r="P225" s="14"/>
    </row>
    <row r="226">
      <c r="A226" s="14" t="inlineStr">
        <is>
          <t xml:space="preserve">RR-0226</t>
        </is>
      </c>
      <c r="B226" s="14" t="inlineStr">
        <is>
          <t xml:space="preserve">NFC Clock-in Security</t>
        </is>
      </c>
      <c r="C226" s="14" t="inlineStr">
        <is>
          <t xml:space="preserve">Clock actions and anti-abuse</t>
        </is>
      </c>
      <c r="D226" s="14" t="inlineStr">
        <is>
          <t xml:space="preserve">Functional</t>
        </is>
      </c>
      <c r="E226" s="14" t="inlineStr">
        <is>
          <t xml:space="preserve">Authenticated employee opens a fresh valid clock URL</t>
        </is>
      </c>
      <c r="F226" s="14" t="inlineStr">
        <is>
          <t xml:space="preserve">Critical</t>
        </is>
      </c>
      <c r="G226" s="14" t="inlineStr">
        <is>
          <t xml:space="preserve">Medium</t>
        </is>
      </c>
      <c r="H226" s="14" t="inlineStr">
        <is>
          <t xml:space="preserve">Beta</t>
        </is>
      </c>
      <c r="I226" s="14" t="inlineStr">
        <is>
          <t xml:space="preserve">Activated station linked to a location; NTAG 424 DNA test card and test employee account.</t>
        </is>
      </c>
      <c r="J226" s="14" t="inlineStr">
        <is>
          <t xml:space="preserve">1. Prepare the stated preconditions and sign in with the required role.
2. Navigate to Clock actions and anti-abuse.
3. Execute: Authenticated employee opens a fresh valid clock URL.
4. Refresh or reopen the relevant page and inspect persisted data.
5. Verify UI feedback, permissions, notifications and audit records where applicable.</t>
        </is>
      </c>
      <c r="K226" s="14" t="inlineStr">
        <is>
          <t xml:space="preserve">Valid, reused, expired and tampered SUN URLs/counters</t>
        </is>
      </c>
      <c r="L226" s="14" t="inlineStr">
        <is>
          <t xml:space="preserve">Clock page shows the linked location, expected shift and correct action.</t>
        </is>
      </c>
      <c r="M226" s="14" t="inlineStr">
        <is>
          <t xml:space="preserve">Candidate</t>
        </is>
      </c>
      <c r="N226" s="14" t="inlineStr">
        <is>
          <t xml:space="preserve">Yes</t>
        </is>
      </c>
      <c r="O226" s="14" t="inlineStr">
        <is>
          <t xml:space="preserve">Active</t>
        </is>
      </c>
      <c r="P226" s="14"/>
    </row>
    <row r="227">
      <c r="A227" s="14" t="inlineStr">
        <is>
          <t xml:space="preserve">RR-0227</t>
        </is>
      </c>
      <c r="B227" s="14" t="inlineStr">
        <is>
          <t xml:space="preserve">NFC Clock-in Security</t>
        </is>
      </c>
      <c r="C227" s="14" t="inlineStr">
        <is>
          <t xml:space="preserve">Clock actions and anti-abuse</t>
        </is>
      </c>
      <c r="D227" s="14" t="inlineStr">
        <is>
          <t xml:space="preserve">Security</t>
        </is>
      </c>
      <c r="E227" s="14" t="inlineStr">
        <is>
          <t xml:space="preserve">Unauthenticated user opens a fresh URL</t>
        </is>
      </c>
      <c r="F227" s="14" t="inlineStr">
        <is>
          <t xml:space="preserve">Critical</t>
        </is>
      </c>
      <c r="G227" s="14" t="inlineStr">
        <is>
          <t xml:space="preserve">Medium</t>
        </is>
      </c>
      <c r="H227" s="14" t="inlineStr">
        <is>
          <t xml:space="preserve">Beta</t>
        </is>
      </c>
      <c r="I227" s="14" t="inlineStr">
        <is>
          <t xml:space="preserve">Activated station linked to a location; NTAG 424 DNA test card and test employee account.</t>
        </is>
      </c>
      <c r="J227" s="14" t="inlineStr">
        <is>
          <t xml:space="preserve">1. Prepare the stated preconditions and sign in with the required role.
2. Navigate to Clock actions and anti-abuse.
3. Execute: Unauthenticated user opens a fresh URL.
4. Refresh or reopen the relevant page and inspect persisted data.
5. Verify UI feedback, permissions, notifications and audit records where applicable.</t>
        </is>
      </c>
      <c r="K227" s="14" t="inlineStr">
        <is>
          <t xml:space="preserve">Valid, reused, expired and tampered SUN URLs/counters</t>
        </is>
      </c>
      <c r="L227" s="14" t="inlineStr">
        <is>
          <t xml:space="preserve">Sign-in is required and the valid tap context is preserved only within its safe lifetime.</t>
        </is>
      </c>
      <c r="M227" s="14" t="inlineStr">
        <is>
          <t xml:space="preserve">Candidate</t>
        </is>
      </c>
      <c r="N227" s="14" t="inlineStr">
        <is>
          <t xml:space="preserve">Yes</t>
        </is>
      </c>
      <c r="O227" s="14" t="inlineStr">
        <is>
          <t xml:space="preserve">Active</t>
        </is>
      </c>
      <c r="P227" s="14"/>
    </row>
    <row r="228">
      <c r="A228" s="14" t="inlineStr">
        <is>
          <t xml:space="preserve">RR-0228</t>
        </is>
      </c>
      <c r="B228" s="14" t="inlineStr">
        <is>
          <t xml:space="preserve">NFC Clock-in Security</t>
        </is>
      </c>
      <c r="C228" s="14" t="inlineStr">
        <is>
          <t xml:space="preserve">Clock actions and anti-abuse</t>
        </is>
      </c>
      <c r="D228" s="14" t="inlineStr">
        <is>
          <t xml:space="preserve">Security</t>
        </is>
      </c>
      <c r="E228" s="14" t="inlineStr">
        <is>
          <t xml:space="preserve">Employee forwards the URL before using it</t>
        </is>
      </c>
      <c r="F228" s="14" t="inlineStr">
        <is>
          <t xml:space="preserve">Critical</t>
        </is>
      </c>
      <c r="G228" s="14" t="inlineStr">
        <is>
          <t xml:space="preserve">Medium</t>
        </is>
      </c>
      <c r="H228" s="14" t="inlineStr">
        <is>
          <t xml:space="preserve">Beta</t>
        </is>
      </c>
      <c r="I228" s="14" t="inlineStr">
        <is>
          <t xml:space="preserve">Activated station linked to a location; NTAG 424 DNA test card and test employee account.</t>
        </is>
      </c>
      <c r="J228" s="14" t="inlineStr">
        <is>
          <t xml:space="preserve">1. Prepare the stated preconditions and sign in with the required role.
2. Navigate to Clock actions and anti-abuse.
3. Execute: Employee forwards the URL before using it.
4. Refresh or reopen the relevant page and inspect persisted data.
5. Verify UI feedback, permissions, notifications and audit records where applicable.</t>
        </is>
      </c>
      <c r="K228" s="14" t="inlineStr">
        <is>
          <t xml:space="preserve">Valid, reused, expired and tampered SUN URLs/counters</t>
        </is>
      </c>
      <c r="L228" s="14" t="inlineStr">
        <is>
          <t xml:space="preserve">Only an authenticated eligible employee can act; token remains single-use and expires quickly.</t>
        </is>
      </c>
      <c r="M228" s="14" t="inlineStr">
        <is>
          <t xml:space="preserve">Candidate</t>
        </is>
      </c>
      <c r="N228" s="14" t="inlineStr">
        <is>
          <t xml:space="preserve">Yes</t>
        </is>
      </c>
      <c r="O228" s="14" t="inlineStr">
        <is>
          <t xml:space="preserve">Active</t>
        </is>
      </c>
      <c r="P228" s="14"/>
    </row>
    <row r="229">
      <c r="A229" s="14" t="inlineStr">
        <is>
          <t xml:space="preserve">RR-0229</t>
        </is>
      </c>
      <c r="B229" s="14" t="inlineStr">
        <is>
          <t xml:space="preserve">NFC Clock-in Security</t>
        </is>
      </c>
      <c r="C229" s="14" t="inlineStr">
        <is>
          <t xml:space="preserve">Clock actions and anti-abuse</t>
        </is>
      </c>
      <c r="D229" s="14" t="inlineStr">
        <is>
          <t xml:space="preserve">Security</t>
        </is>
      </c>
      <c r="E229" s="14" t="inlineStr">
        <is>
          <t xml:space="preserve">Employee forwards the URL after using it</t>
        </is>
      </c>
      <c r="F229" s="14" t="inlineStr">
        <is>
          <t xml:space="preserve">Critical</t>
        </is>
      </c>
      <c r="G229" s="14" t="inlineStr">
        <is>
          <t xml:space="preserve">Medium</t>
        </is>
      </c>
      <c r="H229" s="14" t="inlineStr">
        <is>
          <t xml:space="preserve">Beta</t>
        </is>
      </c>
      <c r="I229" s="14" t="inlineStr">
        <is>
          <t xml:space="preserve">Activated station linked to a location; NTAG 424 DNA test card and test employee account.</t>
        </is>
      </c>
      <c r="J229" s="14" t="inlineStr">
        <is>
          <t xml:space="preserve">1. Prepare the stated preconditions and sign in with the required role.
2. Navigate to Clock actions and anti-abuse.
3. Execute: Employee forwards the URL after using it.
4. Refresh or reopen the relevant page and inspect persisted data.
5. Verify UI feedback, permissions, notifications and audit records where applicable.</t>
        </is>
      </c>
      <c r="K229" s="14" t="inlineStr">
        <is>
          <t xml:space="preserve">Valid, reused, expired and tampered SUN URLs/counters</t>
        </is>
      </c>
      <c r="L229" s="14" t="inlineStr">
        <is>
          <t xml:space="preserve">Replayed link is rejected.</t>
        </is>
      </c>
      <c r="M229" s="14" t="inlineStr">
        <is>
          <t xml:space="preserve">Candidate</t>
        </is>
      </c>
      <c r="N229" s="14" t="inlineStr">
        <is>
          <t xml:space="preserve">Yes</t>
        </is>
      </c>
      <c r="O229" s="14" t="inlineStr">
        <is>
          <t xml:space="preserve">Active</t>
        </is>
      </c>
      <c r="P229" s="14"/>
    </row>
    <row r="230">
      <c r="A230" s="14" t="inlineStr">
        <is>
          <t xml:space="preserve">RR-0230</t>
        </is>
      </c>
      <c r="B230" s="14" t="inlineStr">
        <is>
          <t xml:space="preserve">NFC Clock-in Security</t>
        </is>
      </c>
      <c r="C230" s="14" t="inlineStr">
        <is>
          <t xml:space="preserve">Clock actions and anti-abuse</t>
        </is>
      </c>
      <c r="D230" s="14" t="inlineStr">
        <is>
          <t xml:space="preserve">Security</t>
        </is>
      </c>
      <c r="E230" s="14" t="inlineStr">
        <is>
          <t xml:space="preserve">Employee attempts to clock into a location they do not belong to</t>
        </is>
      </c>
      <c r="F230" s="14" t="inlineStr">
        <is>
          <t xml:space="preserve">Critical</t>
        </is>
      </c>
      <c r="G230" s="14" t="inlineStr">
        <is>
          <t xml:space="preserve">Medium</t>
        </is>
      </c>
      <c r="H230" s="14" t="inlineStr">
        <is>
          <t xml:space="preserve">Beta</t>
        </is>
      </c>
      <c r="I230" s="14" t="inlineStr">
        <is>
          <t xml:space="preserve">Activated station linked to a location; NTAG 424 DNA test card and test employee account.</t>
        </is>
      </c>
      <c r="J230" s="14" t="inlineStr">
        <is>
          <t xml:space="preserve">1. Prepare the stated preconditions and sign in with the required role.
2. Navigate to Clock actions and anti-abuse.
3. Execute: Employee attempts to clock into a location they do not belong to.
4. Refresh or reopen the relevant page and inspect persisted data.
5. Verify UI feedback, permissions, notifications and audit records where applicable.</t>
        </is>
      </c>
      <c r="K230" s="14" t="inlineStr">
        <is>
          <t xml:space="preserve">Valid, reused, expired and tampered SUN URLs/counters</t>
        </is>
      </c>
      <c r="L230" s="14" t="inlineStr">
        <is>
          <t xml:space="preserve">Action is blocked server-side.</t>
        </is>
      </c>
      <c r="M230" s="14" t="inlineStr">
        <is>
          <t xml:space="preserve">Candidate</t>
        </is>
      </c>
      <c r="N230" s="14" t="inlineStr">
        <is>
          <t xml:space="preserve">Yes</t>
        </is>
      </c>
      <c r="O230" s="14" t="inlineStr">
        <is>
          <t xml:space="preserve">Active</t>
        </is>
      </c>
      <c r="P230" s="14"/>
    </row>
    <row r="231">
      <c r="A231" s="14" t="inlineStr">
        <is>
          <t xml:space="preserve">RR-0231</t>
        </is>
      </c>
      <c r="B231" s="14" t="inlineStr">
        <is>
          <t xml:space="preserve">NFC Clock-in Security</t>
        </is>
      </c>
      <c r="C231" s="14" t="inlineStr">
        <is>
          <t xml:space="preserve">Clock actions and anti-abuse</t>
        </is>
      </c>
      <c r="D231" s="14" t="inlineStr">
        <is>
          <t xml:space="preserve">Functional</t>
        </is>
      </c>
      <c r="E231" s="14" t="inlineStr">
        <is>
          <t xml:space="preserve">Employee clocks in for the expected current shift</t>
        </is>
      </c>
      <c r="F231" s="14" t="inlineStr">
        <is>
          <t xml:space="preserve">Critical</t>
        </is>
      </c>
      <c r="G231" s="14" t="inlineStr">
        <is>
          <t xml:space="preserve">Medium</t>
        </is>
      </c>
      <c r="H231" s="14" t="inlineStr">
        <is>
          <t xml:space="preserve">Beta</t>
        </is>
      </c>
      <c r="I231" s="14" t="inlineStr">
        <is>
          <t xml:space="preserve">Activated station linked to a location; NTAG 424 DNA test card and test employee account.</t>
        </is>
      </c>
      <c r="J231" s="14" t="inlineStr">
        <is>
          <t xml:space="preserve">1. Prepare the stated preconditions and sign in with the required role.
2. Navigate to Clock actions and anti-abuse.
3. Execute: Employee clocks in for the expected current shift.
4. Refresh or reopen the relevant page and inspect persisted data.
5. Verify UI feedback, permissions, notifications and audit records where applicable.</t>
        </is>
      </c>
      <c r="K231" s="14" t="inlineStr">
        <is>
          <t xml:space="preserve">Valid, reused, expired and tampered SUN URLs/counters</t>
        </is>
      </c>
      <c r="L231" s="14" t="inlineStr">
        <is>
          <t xml:space="preserve">A single clock-in event is recorded with server timestamp, location and station.</t>
        </is>
      </c>
      <c r="M231" s="14" t="inlineStr">
        <is>
          <t xml:space="preserve">Candidate</t>
        </is>
      </c>
      <c r="N231" s="14" t="inlineStr">
        <is>
          <t xml:space="preserve">Yes</t>
        </is>
      </c>
      <c r="O231" s="14" t="inlineStr">
        <is>
          <t xml:space="preserve">Active</t>
        </is>
      </c>
      <c r="P231" s="14"/>
    </row>
    <row r="232">
      <c r="A232" s="14" t="inlineStr">
        <is>
          <t xml:space="preserve">RR-0232</t>
        </is>
      </c>
      <c r="B232" s="14" t="inlineStr">
        <is>
          <t xml:space="preserve">NFC Clock-in Security</t>
        </is>
      </c>
      <c r="C232" s="14" t="inlineStr">
        <is>
          <t xml:space="preserve">Clock actions and anti-abuse</t>
        </is>
      </c>
      <c r="D232" s="14" t="inlineStr">
        <is>
          <t xml:space="preserve">Concurrency</t>
        </is>
      </c>
      <c r="E232" s="14" t="inlineStr">
        <is>
          <t xml:space="preserve">Employee taps twice rapidly to clock in</t>
        </is>
      </c>
      <c r="F232" s="14" t="inlineStr">
        <is>
          <t xml:space="preserve">Critical</t>
        </is>
      </c>
      <c r="G232" s="14" t="inlineStr">
        <is>
          <t xml:space="preserve">Medium</t>
        </is>
      </c>
      <c r="H232" s="14" t="inlineStr">
        <is>
          <t xml:space="preserve">Beta</t>
        </is>
      </c>
      <c r="I232" s="14" t="inlineStr">
        <is>
          <t xml:space="preserve">Activated station linked to a location; NTAG 424 DNA test card and test employee account.</t>
        </is>
      </c>
      <c r="J232" s="14" t="inlineStr">
        <is>
          <t xml:space="preserve">1. Prepare the stated preconditions and sign in with the required role.
2. Navigate to Clock actions and anti-abuse.
3. Execute: Employee taps twice rapidly to clock in.
4. Refresh or reopen the relevant page and inspect persisted data.
5. Verify UI feedback, permissions, notifications and audit records where applicable.</t>
        </is>
      </c>
      <c r="K232" s="14" t="inlineStr">
        <is>
          <t xml:space="preserve">Valid, reused, expired and tampered SUN URLs/counters</t>
        </is>
      </c>
      <c r="L232" s="14" t="inlineStr">
        <is>
          <t xml:space="preserve">Duplicate requests are idempotent and create one active attendance record.</t>
        </is>
      </c>
      <c r="M232" s="14" t="inlineStr">
        <is>
          <t xml:space="preserve">Candidate</t>
        </is>
      </c>
      <c r="N232" s="14" t="inlineStr">
        <is>
          <t xml:space="preserve">Yes</t>
        </is>
      </c>
      <c r="O232" s="14" t="inlineStr">
        <is>
          <t xml:space="preserve">Active</t>
        </is>
      </c>
      <c r="P232" s="14"/>
    </row>
    <row r="233">
      <c r="A233" s="14" t="inlineStr">
        <is>
          <t xml:space="preserve">RR-0233</t>
        </is>
      </c>
      <c r="B233" s="14" t="inlineStr">
        <is>
          <t xml:space="preserve">NFC Clock-in Security</t>
        </is>
      </c>
      <c r="C233" s="14" t="inlineStr">
        <is>
          <t xml:space="preserve">Clock actions and anti-abuse</t>
        </is>
      </c>
      <c r="D233" s="14" t="inlineStr">
        <is>
          <t xml:space="preserve">Functional</t>
        </is>
      </c>
      <c r="E233" s="14" t="inlineStr">
        <is>
          <t xml:space="preserve">Employee attempts to clock in two hours early</t>
        </is>
      </c>
      <c r="F233" s="14" t="inlineStr">
        <is>
          <t xml:space="preserve">Critical</t>
        </is>
      </c>
      <c r="G233" s="14" t="inlineStr">
        <is>
          <t xml:space="preserve">Medium</t>
        </is>
      </c>
      <c r="H233" s="14" t="inlineStr">
        <is>
          <t xml:space="preserve">Beta</t>
        </is>
      </c>
      <c r="I233" s="14" t="inlineStr">
        <is>
          <t xml:space="preserve">Activated station linked to a location; NTAG 424 DNA test card and test employee account.</t>
        </is>
      </c>
      <c r="J233" s="14" t="inlineStr">
        <is>
          <t xml:space="preserve">1. Prepare the stated preconditions and sign in with the required role.
2. Navigate to Clock actions and anti-abuse.
3. Execute: Employee attempts to clock in two hours early.
4. Refresh or reopen the relevant page and inspect persisted data.
5. Verify UI feedback, permissions, notifications and audit records where applicable.</t>
        </is>
      </c>
      <c r="K233" s="14" t="inlineStr">
        <is>
          <t xml:space="preserve">Valid, reused, expired and tampered SUN URLs/counters</t>
        </is>
      </c>
      <c r="L233" s="14" t="inlineStr">
        <is>
          <t xml:space="preserve">Configured early policy warns, blocks or requires manager approval and records the result.</t>
        </is>
      </c>
      <c r="M233" s="14" t="inlineStr">
        <is>
          <t xml:space="preserve">Candidate</t>
        </is>
      </c>
      <c r="N233" s="14" t="inlineStr">
        <is>
          <t xml:space="preserve">Yes</t>
        </is>
      </c>
      <c r="O233" s="14" t="inlineStr">
        <is>
          <t xml:space="preserve">Active</t>
        </is>
      </c>
      <c r="P233" s="14"/>
    </row>
    <row r="234">
      <c r="A234" s="14" t="inlineStr">
        <is>
          <t xml:space="preserve">RR-0234</t>
        </is>
      </c>
      <c r="B234" s="14" t="inlineStr">
        <is>
          <t xml:space="preserve">NFC Clock-in Security</t>
        </is>
      </c>
      <c r="C234" s="14" t="inlineStr">
        <is>
          <t xml:space="preserve">Clock actions and anti-abuse</t>
        </is>
      </c>
      <c r="D234" s="14" t="inlineStr">
        <is>
          <t xml:space="preserve">Functional</t>
        </is>
      </c>
      <c r="E234" s="14" t="inlineStr">
        <is>
          <t xml:space="preserve">Employee arrives two hours after a pushed-back shift not updated on rota</t>
        </is>
      </c>
      <c r="F234" s="14" t="inlineStr">
        <is>
          <t xml:space="preserve">High</t>
        </is>
      </c>
      <c r="G234" s="14" t="inlineStr">
        <is>
          <t xml:space="preserve">Medium</t>
        </is>
      </c>
      <c r="H234" s="14" t="inlineStr">
        <is>
          <t xml:space="preserve">Beta</t>
        </is>
      </c>
      <c r="I234" s="14" t="inlineStr">
        <is>
          <t xml:space="preserve">Activated station linked to a location; NTAG 424 DNA test card and test employee account.</t>
        </is>
      </c>
      <c r="J234" s="14" t="inlineStr">
        <is>
          <t xml:space="preserve">1. Prepare the stated preconditions and sign in with the required role.
2. Navigate to Clock actions and anti-abuse.
3. Execute: Employee arrives two hours after a pushed-back shift not updated on rota.
4. Refresh or reopen the relevant page and inspect persisted data.
5. Verify UI feedback, permissions, notifications and audit records where applicable.</t>
        </is>
      </c>
      <c r="K234" s="14" t="inlineStr">
        <is>
          <t xml:space="preserve">Valid, reused, expired and tampered SUN URLs/counters</t>
        </is>
      </c>
      <c r="L234" s="14" t="inlineStr">
        <is>
          <t xml:space="preserve">System offers the correct exception/manager flow rather than silently marking an unexplained anomaly.</t>
        </is>
      </c>
      <c r="M234" s="14" t="inlineStr">
        <is>
          <t xml:space="preserve">Candidate</t>
        </is>
      </c>
      <c r="N234" s="14" t="inlineStr">
        <is>
          <t xml:space="preserve">Yes</t>
        </is>
      </c>
      <c r="O234" s="14" t="inlineStr">
        <is>
          <t xml:space="preserve">Active</t>
        </is>
      </c>
      <c r="P234" s="14"/>
    </row>
    <row r="235">
      <c r="A235" s="14" t="inlineStr">
        <is>
          <t xml:space="preserve">RR-0235</t>
        </is>
      </c>
      <c r="B235" s="14" t="inlineStr">
        <is>
          <t xml:space="preserve">NFC Clock-in Security</t>
        </is>
      </c>
      <c r="C235" s="14" t="inlineStr">
        <is>
          <t xml:space="preserve">Clock actions and anti-abuse</t>
        </is>
      </c>
      <c r="D235" s="14" t="inlineStr">
        <is>
          <t xml:space="preserve">Functional</t>
        </is>
      </c>
      <c r="E235" s="14" t="inlineStr">
        <is>
          <t xml:space="preserve">Employee has no scheduled shift</t>
        </is>
      </c>
      <c r="F235" s="14" t="inlineStr">
        <is>
          <t xml:space="preserve">Critical</t>
        </is>
      </c>
      <c r="G235" s="14" t="inlineStr">
        <is>
          <t xml:space="preserve">Medium</t>
        </is>
      </c>
      <c r="H235" s="14" t="inlineStr">
        <is>
          <t xml:space="preserve">Beta</t>
        </is>
      </c>
      <c r="I235" s="14" t="inlineStr">
        <is>
          <t xml:space="preserve">Activated station linked to a location; NTAG 424 DNA test card and test employee account.</t>
        </is>
      </c>
      <c r="J235" s="14" t="inlineStr">
        <is>
          <t xml:space="preserve">1. Prepare the stated preconditions and sign in with the required role.
2. Navigate to Clock actions and anti-abuse.
3. Execute: Employee has no scheduled shift.
4. Refresh or reopen the relevant page and inspect persisted data.
5. Verify UI feedback, permissions, notifications and audit records where applicable.</t>
        </is>
      </c>
      <c r="K235" s="14" t="inlineStr">
        <is>
          <t xml:space="preserve">Valid, reused, expired and tampered SUN URLs/counters</t>
        </is>
      </c>
      <c r="L235" s="14" t="inlineStr">
        <is>
          <t xml:space="preserve">Clock-in follows policy: blocked, allowed with exception, or manager approval—clearly recorded.</t>
        </is>
      </c>
      <c r="M235" s="14" t="inlineStr">
        <is>
          <t xml:space="preserve">Candidate</t>
        </is>
      </c>
      <c r="N235" s="14" t="inlineStr">
        <is>
          <t xml:space="preserve">Yes</t>
        </is>
      </c>
      <c r="O235" s="14" t="inlineStr">
        <is>
          <t xml:space="preserve">Active</t>
        </is>
      </c>
      <c r="P235" s="14"/>
    </row>
    <row r="236">
      <c r="A236" s="14" t="inlineStr">
        <is>
          <t xml:space="preserve">RR-0236</t>
        </is>
      </c>
      <c r="B236" s="14" t="inlineStr">
        <is>
          <t xml:space="preserve">NFC Clock-in Security</t>
        </is>
      </c>
      <c r="C236" s="14" t="inlineStr">
        <is>
          <t xml:space="preserve">Clock actions and anti-abuse</t>
        </is>
      </c>
      <c r="D236" s="14" t="inlineStr">
        <is>
          <t xml:space="preserve">Functional</t>
        </is>
      </c>
      <c r="E236" s="14" t="inlineStr">
        <is>
          <t xml:space="preserve">Employee clocks out normally</t>
        </is>
      </c>
      <c r="F236" s="14" t="inlineStr">
        <is>
          <t xml:space="preserve">Critical</t>
        </is>
      </c>
      <c r="G236" s="14" t="inlineStr">
        <is>
          <t xml:space="preserve">Medium</t>
        </is>
      </c>
      <c r="H236" s="14" t="inlineStr">
        <is>
          <t xml:space="preserve">Beta</t>
        </is>
      </c>
      <c r="I236" s="14" t="inlineStr">
        <is>
          <t xml:space="preserve">Activated station linked to a location; NTAG 424 DNA test card and test employee account.</t>
        </is>
      </c>
      <c r="J236" s="14" t="inlineStr">
        <is>
          <t xml:space="preserve">1. Prepare the stated preconditions and sign in with the required role.
2. Navigate to Clock actions and anti-abuse.
3. Execute: Employee clocks out normally.
4. Refresh or reopen the relevant page and inspect persisted data.
5. Verify UI feedback, permissions, notifications and audit records where applicable.</t>
        </is>
      </c>
      <c r="K236" s="14" t="inlineStr">
        <is>
          <t xml:space="preserve">Valid, reused, expired and tampered SUN URLs/counters</t>
        </is>
      </c>
      <c r="L236" s="14" t="inlineStr">
        <is>
          <t xml:space="preserve">Active attendance closes once and duration uses authoritative timestamps.</t>
        </is>
      </c>
      <c r="M236" s="14" t="inlineStr">
        <is>
          <t xml:space="preserve">Candidate</t>
        </is>
      </c>
      <c r="N236" s="14" t="inlineStr">
        <is>
          <t xml:space="preserve">Yes</t>
        </is>
      </c>
      <c r="O236" s="14" t="inlineStr">
        <is>
          <t xml:space="preserve">Active</t>
        </is>
      </c>
      <c r="P236" s="14"/>
    </row>
    <row r="237">
      <c r="A237" s="14" t="inlineStr">
        <is>
          <t xml:space="preserve">RR-0237</t>
        </is>
      </c>
      <c r="B237" s="14" t="inlineStr">
        <is>
          <t xml:space="preserve">NFC Clock-in Security</t>
        </is>
      </c>
      <c r="C237" s="14" t="inlineStr">
        <is>
          <t xml:space="preserve">Clock actions and anti-abuse</t>
        </is>
      </c>
      <c r="D237" s="14" t="inlineStr">
        <is>
          <t xml:space="preserve">Negative</t>
        </is>
      </c>
      <c r="E237" s="14" t="inlineStr">
        <is>
          <t xml:space="preserve">Employee attempts to clock out without an active clock-in</t>
        </is>
      </c>
      <c r="F237" s="14" t="inlineStr">
        <is>
          <t xml:space="preserve">High</t>
        </is>
      </c>
      <c r="G237" s="14" t="inlineStr">
        <is>
          <t xml:space="preserve">Medium</t>
        </is>
      </c>
      <c r="H237" s="14" t="inlineStr">
        <is>
          <t xml:space="preserve">Beta</t>
        </is>
      </c>
      <c r="I237" s="14" t="inlineStr">
        <is>
          <t xml:space="preserve">Activated station linked to a location; NTAG 424 DNA test card and test employee account.</t>
        </is>
      </c>
      <c r="J237" s="14" t="inlineStr">
        <is>
          <t xml:space="preserve">1. Prepare the stated preconditions and sign in with the required role.
2. Navigate to Clock actions and anti-abuse.
3. Execute: Employee attempts to clock out without an active clock-in.
4. Refresh or reopen the relevant page and inspect persisted data.
5. Verify UI feedback, permissions, notifications and audit records where applicable.</t>
        </is>
      </c>
      <c r="K237" s="14" t="inlineStr">
        <is>
          <t xml:space="preserve">Valid, reused, expired and tampered SUN URLs/counters</t>
        </is>
      </c>
      <c r="L237" s="14" t="inlineStr">
        <is>
          <t xml:space="preserve">Action is blocked with clear guidance.</t>
        </is>
      </c>
      <c r="M237" s="14" t="inlineStr">
        <is>
          <t xml:space="preserve">Candidate</t>
        </is>
      </c>
      <c r="N237" s="14" t="inlineStr">
        <is>
          <t xml:space="preserve">Yes</t>
        </is>
      </c>
      <c r="O237" s="14" t="inlineStr">
        <is>
          <t xml:space="preserve">Active</t>
        </is>
      </c>
      <c r="P237" s="14"/>
    </row>
    <row r="238">
      <c r="A238" s="14" t="inlineStr">
        <is>
          <t xml:space="preserve">RR-0238</t>
        </is>
      </c>
      <c r="B238" s="14" t="inlineStr">
        <is>
          <t xml:space="preserve">NFC Clock-in Security</t>
        </is>
      </c>
      <c r="C238" s="14" t="inlineStr">
        <is>
          <t xml:space="preserve">Clock actions and anti-abuse</t>
        </is>
      </c>
      <c r="D238" s="14" t="inlineStr">
        <is>
          <t xml:space="preserve">Security</t>
        </is>
      </c>
      <c r="E238" s="14" t="inlineStr">
        <is>
          <t xml:space="preserve">Employee forgets phone and manager performs override</t>
        </is>
      </c>
      <c r="F238" s="14" t="inlineStr">
        <is>
          <t xml:space="preserve">Critical</t>
        </is>
      </c>
      <c r="G238" s="14" t="inlineStr">
        <is>
          <t xml:space="preserve">Medium</t>
        </is>
      </c>
      <c r="H238" s="14" t="inlineStr">
        <is>
          <t xml:space="preserve">Beta</t>
        </is>
      </c>
      <c r="I238" s="14" t="inlineStr">
        <is>
          <t xml:space="preserve">Activated station linked to a location; NTAG 424 DNA test card and test employee account.</t>
        </is>
      </c>
      <c r="J238" s="14" t="inlineStr">
        <is>
          <t xml:space="preserve">1. Prepare the stated preconditions and sign in with the required role.
2. Navigate to Clock actions and anti-abuse.
3. Execute: Employee forgets phone and manager performs override.
4. Refresh or reopen the relevant page and inspect persisted data.
5. Verify UI feedback, permissions, notifications and audit records where applicable.</t>
        </is>
      </c>
      <c r="K238" s="14" t="inlineStr">
        <is>
          <t xml:space="preserve">Valid, reused, expired and tampered SUN URLs/counters</t>
        </is>
      </c>
      <c r="L238" s="14" t="inlineStr">
        <is>
          <t xml:space="preserve">Override requires authorised manager, reason and audit record.</t>
        </is>
      </c>
      <c r="M238" s="14" t="inlineStr">
        <is>
          <t xml:space="preserve">Candidate</t>
        </is>
      </c>
      <c r="N238" s="14" t="inlineStr">
        <is>
          <t xml:space="preserve">Yes</t>
        </is>
      </c>
      <c r="O238" s="14" t="inlineStr">
        <is>
          <t xml:space="preserve">Active</t>
        </is>
      </c>
      <c r="P238" s="14"/>
    </row>
    <row r="239">
      <c r="A239" s="14" t="inlineStr">
        <is>
          <t xml:space="preserve">RR-0239</t>
        </is>
      </c>
      <c r="B239" s="14" t="inlineStr">
        <is>
          <t xml:space="preserve">NFC Clock-in Security</t>
        </is>
      </c>
      <c r="C239" s="14" t="inlineStr">
        <is>
          <t xml:space="preserve">Clock actions and anti-abuse</t>
        </is>
      </c>
      <c r="D239" s="14" t="inlineStr">
        <is>
          <t xml:space="preserve">Security</t>
        </is>
      </c>
      <c r="E239" s="14" t="inlineStr">
        <is>
          <t xml:space="preserve">Geofence is enabled and employee is outside permitted area</t>
        </is>
      </c>
      <c r="F239" s="14" t="inlineStr">
        <is>
          <t xml:space="preserve">High</t>
        </is>
      </c>
      <c r="G239" s="14" t="inlineStr">
        <is>
          <t xml:space="preserve">Medium</t>
        </is>
      </c>
      <c r="H239" s="14" t="inlineStr">
        <is>
          <t xml:space="preserve">Beta</t>
        </is>
      </c>
      <c r="I239" s="14" t="inlineStr">
        <is>
          <t xml:space="preserve">Activated station linked to a location; NTAG 424 DNA test card and test employee account.</t>
        </is>
      </c>
      <c r="J239" s="14" t="inlineStr">
        <is>
          <t xml:space="preserve">1. Prepare the stated preconditions and sign in with the required role.
2. Navigate to Clock actions and anti-abuse.
3. Execute: Geofence is enabled and employee is outside permitted area.
4. Refresh or reopen the relevant page and inspect persisted data.
5. Verify UI feedback, permissions, notifications and audit records where applicable.</t>
        </is>
      </c>
      <c r="K239" s="14" t="inlineStr">
        <is>
          <t xml:space="preserve">Valid, reused, expired and tampered SUN URLs/counters</t>
        </is>
      </c>
      <c r="L239" s="14" t="inlineStr">
        <is>
          <t xml:space="preserve">Action follows policy and location permission is handled transparently.</t>
        </is>
      </c>
      <c r="M239" s="14" t="inlineStr">
        <is>
          <t xml:space="preserve">Candidate</t>
        </is>
      </c>
      <c r="N239" s="14" t="inlineStr">
        <is>
          <t xml:space="preserve">Yes</t>
        </is>
      </c>
      <c r="O239" s="14" t="inlineStr">
        <is>
          <t xml:space="preserve">Active</t>
        </is>
      </c>
      <c r="P239" s="14"/>
    </row>
    <row r="240">
      <c r="A240" s="14" t="inlineStr">
        <is>
          <t xml:space="preserve">RR-0240</t>
        </is>
      </c>
      <c r="B240" s="14" t="inlineStr">
        <is>
          <t xml:space="preserve">NFC Clock-in Security</t>
        </is>
      </c>
      <c r="C240" s="14" t="inlineStr">
        <is>
          <t xml:space="preserve">Clock actions and anti-abuse</t>
        </is>
      </c>
      <c r="D240" s="14" t="inlineStr">
        <is>
          <t xml:space="preserve">Reliability</t>
        </is>
      </c>
      <c r="E240" s="14" t="inlineStr">
        <is>
          <t xml:space="preserve">Browser refreshes after successful clock-in</t>
        </is>
      </c>
      <c r="F240" s="14" t="inlineStr">
        <is>
          <t xml:space="preserve">High</t>
        </is>
      </c>
      <c r="G240" s="14" t="inlineStr">
        <is>
          <t xml:space="preserve">Medium</t>
        </is>
      </c>
      <c r="H240" s="14" t="inlineStr">
        <is>
          <t xml:space="preserve">Beta</t>
        </is>
      </c>
      <c r="I240" s="14" t="inlineStr">
        <is>
          <t xml:space="preserve">Activated station linked to a location; NTAG 424 DNA test card and test employee account.</t>
        </is>
      </c>
      <c r="J240" s="14" t="inlineStr">
        <is>
          <t xml:space="preserve">1. Prepare the stated preconditions and sign in with the required role.
2. Navigate to Clock actions and anti-abuse.
3. Execute: Browser refreshes after successful clock-in.
4. Refresh or reopen the relevant page and inspect persisted data.
5. Verify UI feedback, permissions, notifications and audit records where applicable.</t>
        </is>
      </c>
      <c r="K240" s="14" t="inlineStr">
        <is>
          <t xml:space="preserve">Valid, reused, expired and tampered SUN URLs/counters</t>
        </is>
      </c>
      <c r="L240" s="14" t="inlineStr">
        <is>
          <t xml:space="preserve">Success state remains accurate and does not repeat the action.</t>
        </is>
      </c>
      <c r="M240" s="14" t="inlineStr">
        <is>
          <t xml:space="preserve">Candidate</t>
        </is>
      </c>
      <c r="N240" s="14" t="inlineStr">
        <is>
          <t xml:space="preserve">Yes</t>
        </is>
      </c>
      <c r="O240" s="14" t="inlineStr">
        <is>
          <t xml:space="preserve">Active</t>
        </is>
      </c>
      <c r="P240" s="14"/>
    </row>
    <row r="241">
      <c r="A241" s="14" t="inlineStr">
        <is>
          <t xml:space="preserve">RR-0241</t>
        </is>
      </c>
      <c r="B241" s="14" t="inlineStr">
        <is>
          <t xml:space="preserve">Timesheets</t>
        </is>
      </c>
      <c r="C241" s="14" t="inlineStr">
        <is>
          <t xml:space="preserve">Attendance calculation and review</t>
        </is>
      </c>
      <c r="D241" s="14" t="inlineStr">
        <is>
          <t xml:space="preserve">Functional</t>
        </is>
      </c>
      <c r="E241" s="14" t="inlineStr">
        <is>
          <t xml:space="preserve">Generate timesheet from scheduled and actual clock records</t>
        </is>
      </c>
      <c r="F241" s="14" t="inlineStr">
        <is>
          <t xml:space="preserve">Critical</t>
        </is>
      </c>
      <c r="G241" s="14" t="inlineStr">
        <is>
          <t xml:space="preserve">Medium</t>
        </is>
      </c>
      <c r="H241" s="14" t="inlineStr">
        <is>
          <t xml:space="preserve">Beta</t>
        </is>
      </c>
      <c r="I241" s="14" t="inlineStr">
        <is>
          <t xml:space="preserve">Published rota and clock records exist for the selected pay period.</t>
        </is>
      </c>
      <c r="J241" s="14" t="inlineStr">
        <is>
          <t xml:space="preserve">1. Prepare the stated preconditions and sign in with the required role.
2. Navigate to Attendance calculation and review.
3. Execute: Generate timesheet from scheduled and actual clock records.
4. Refresh or reopen the relevant page and inspect persisted data.
5. Verify UI feedback, permissions, notifications and audit records where applicable.</t>
        </is>
      </c>
      <c r="K241" s="14" t="inlineStr">
        <is>
          <t xml:space="preserve">Early, late, missed and edited clock records</t>
        </is>
      </c>
      <c r="L241" s="14" t="inlineStr">
        <is>
          <t xml:space="preserve">Scheduled, actual, variance and paid duration are calculated correctly.</t>
        </is>
      </c>
      <c r="M241" s="14" t="inlineStr">
        <is>
          <t xml:space="preserve">Candidate</t>
        </is>
      </c>
      <c r="N241" s="14" t="inlineStr">
        <is>
          <t xml:space="preserve">Yes</t>
        </is>
      </c>
      <c r="O241" s="14" t="inlineStr">
        <is>
          <t xml:space="preserve">Active</t>
        </is>
      </c>
      <c r="P241" s="14"/>
    </row>
    <row r="242">
      <c r="A242" s="14" t="inlineStr">
        <is>
          <t xml:space="preserve">RR-0242</t>
        </is>
      </c>
      <c r="B242" s="14" t="inlineStr">
        <is>
          <t xml:space="preserve">Timesheets</t>
        </is>
      </c>
      <c r="C242" s="14" t="inlineStr">
        <is>
          <t xml:space="preserve">Attendance calculation and review</t>
        </is>
      </c>
      <c r="D242" s="14" t="inlineStr">
        <is>
          <t xml:space="preserve">Functional</t>
        </is>
      </c>
      <c r="E242" s="14" t="inlineStr">
        <is>
          <t xml:space="preserve">Employee clocks in early and out on time</t>
        </is>
      </c>
      <c r="F242" s="14" t="inlineStr">
        <is>
          <t xml:space="preserve">High</t>
        </is>
      </c>
      <c r="G242" s="14" t="inlineStr">
        <is>
          <t xml:space="preserve">Medium</t>
        </is>
      </c>
      <c r="H242" s="14" t="inlineStr">
        <is>
          <t xml:space="preserve">Beta</t>
        </is>
      </c>
      <c r="I242" s="14" t="inlineStr">
        <is>
          <t xml:space="preserve">Published rota and clock records exist for the selected pay period.</t>
        </is>
      </c>
      <c r="J242" s="14" t="inlineStr">
        <is>
          <t xml:space="preserve">1. Prepare the stated preconditions and sign in with the required role.
2. Navigate to Attendance calculation and review.
3. Execute: Employee clocks in early and out on time.
4. Refresh or reopen the relevant page and inspect persisted data.
5. Verify UI feedback, permissions, notifications and audit records where applicable.</t>
        </is>
      </c>
      <c r="K242" s="14" t="inlineStr">
        <is>
          <t xml:space="preserve">Early, late, missed and edited clock records</t>
        </is>
      </c>
      <c r="L242" s="14" t="inlineStr">
        <is>
          <t xml:space="preserve">Early variance is displayed and pay treatment follows organisation policy.</t>
        </is>
      </c>
      <c r="M242" s="14" t="inlineStr">
        <is>
          <t xml:space="preserve">Candidate</t>
        </is>
      </c>
      <c r="N242" s="14" t="inlineStr">
        <is>
          <t xml:space="preserve">Yes</t>
        </is>
      </c>
      <c r="O242" s="14" t="inlineStr">
        <is>
          <t xml:space="preserve">Active</t>
        </is>
      </c>
      <c r="P242" s="14"/>
    </row>
    <row r="243">
      <c r="A243" s="14" t="inlineStr">
        <is>
          <t xml:space="preserve">RR-0243</t>
        </is>
      </c>
      <c r="B243" s="14" t="inlineStr">
        <is>
          <t xml:space="preserve">Timesheets</t>
        </is>
      </c>
      <c r="C243" s="14" t="inlineStr">
        <is>
          <t xml:space="preserve">Attendance calculation and review</t>
        </is>
      </c>
      <c r="D243" s="14" t="inlineStr">
        <is>
          <t xml:space="preserve">Functional</t>
        </is>
      </c>
      <c r="E243" s="14" t="inlineStr">
        <is>
          <t xml:space="preserve">Employee clocks in late</t>
        </is>
      </c>
      <c r="F243" s="14" t="inlineStr">
        <is>
          <t xml:space="preserve">High</t>
        </is>
      </c>
      <c r="G243" s="14" t="inlineStr">
        <is>
          <t xml:space="preserve">Medium</t>
        </is>
      </c>
      <c r="H243" s="14" t="inlineStr">
        <is>
          <t xml:space="preserve">Beta</t>
        </is>
      </c>
      <c r="I243" s="14" t="inlineStr">
        <is>
          <t xml:space="preserve">Published rota and clock records exist for the selected pay period.</t>
        </is>
      </c>
      <c r="J243" s="14" t="inlineStr">
        <is>
          <t xml:space="preserve">1. Prepare the stated preconditions and sign in with the required role.
2. Navigate to Attendance calculation and review.
3. Execute: Employee clocks in late.
4. Refresh or reopen the relevant page and inspect persisted data.
5. Verify UI feedback, permissions, notifications and audit records where applicable.</t>
        </is>
      </c>
      <c r="K243" s="14" t="inlineStr">
        <is>
          <t xml:space="preserve">Early, late, missed and edited clock records</t>
        </is>
      </c>
      <c r="L243" s="14" t="inlineStr">
        <is>
          <t xml:space="preserve">Late variance is displayed accurately.</t>
        </is>
      </c>
      <c r="M243" s="14" t="inlineStr">
        <is>
          <t xml:space="preserve">Candidate</t>
        </is>
      </c>
      <c r="N243" s="14" t="inlineStr">
        <is>
          <t xml:space="preserve">Yes</t>
        </is>
      </c>
      <c r="O243" s="14" t="inlineStr">
        <is>
          <t xml:space="preserve">Active</t>
        </is>
      </c>
      <c r="P243" s="14"/>
    </row>
    <row r="244">
      <c r="A244" s="14" t="inlineStr">
        <is>
          <t xml:space="preserve">RR-0244</t>
        </is>
      </c>
      <c r="B244" s="14" t="inlineStr">
        <is>
          <t xml:space="preserve">Timesheets</t>
        </is>
      </c>
      <c r="C244" s="14" t="inlineStr">
        <is>
          <t xml:space="preserve">Attendance calculation and review</t>
        </is>
      </c>
      <c r="D244" s="14" t="inlineStr">
        <is>
          <t xml:space="preserve">Functional</t>
        </is>
      </c>
      <c r="E244" s="14" t="inlineStr">
        <is>
          <t xml:space="preserve">Employee forgets to clock out</t>
        </is>
      </c>
      <c r="F244" s="14" t="inlineStr">
        <is>
          <t xml:space="preserve">Critical</t>
        </is>
      </c>
      <c r="G244" s="14" t="inlineStr">
        <is>
          <t xml:space="preserve">Medium</t>
        </is>
      </c>
      <c r="H244" s="14" t="inlineStr">
        <is>
          <t xml:space="preserve">Beta</t>
        </is>
      </c>
      <c r="I244" s="14" t="inlineStr">
        <is>
          <t xml:space="preserve">Staging location with scheduled entry; configured reminder and automatic clock-out thresholds.</t>
        </is>
      </c>
      <c r="J244" s="14" t="inlineStr">
        <is>
          <t xml:space="preserve">Leave a test attendance entry open past its expected finish. Check the reminder, then automatic closure. Inspect the estimated finish and manager review workflow in dashboard and timesheets.</t>
        </is>
      </c>
      <c r="K244" s="14" t="inlineStr">
        <is>
          <t xml:space="preserve">Early, late, missed and edited clock records</t>
        </is>
      </c>
      <c r="L244" s="14" t="inlineStr">
        <is>
          <t xml:space="preserve">Open entries are flagged before closure. At the configured cutoff the entry closes with an estimated finish and requires manager review. It is not silently treated as a confirmed finish.</t>
        </is>
      </c>
      <c r="M244" s="14" t="inlineStr">
        <is>
          <t xml:space="preserve">Candidate</t>
        </is>
      </c>
      <c r="N244" s="14" t="inlineStr">
        <is>
          <t xml:space="preserve">Yes</t>
        </is>
      </c>
      <c r="O244" s="14" t="inlineStr">
        <is>
          <t xml:space="preserve">Active</t>
        </is>
      </c>
      <c r="P244" s="14"/>
    </row>
    <row r="245">
      <c r="A245" s="14" t="inlineStr">
        <is>
          <t xml:space="preserve">RR-0245</t>
        </is>
      </c>
      <c r="B245" s="14" t="inlineStr">
        <is>
          <t xml:space="preserve">Timesheets</t>
        </is>
      </c>
      <c r="C245" s="14" t="inlineStr">
        <is>
          <t xml:space="preserve">Attendance calculation and review</t>
        </is>
      </c>
      <c r="D245" s="14" t="inlineStr">
        <is>
          <t xml:space="preserve">Functional</t>
        </is>
      </c>
      <c r="E245" s="14" t="inlineStr">
        <is>
          <t xml:space="preserve">Overnight shift crosses pay-period boundary</t>
        </is>
      </c>
      <c r="F245" s="14" t="inlineStr">
        <is>
          <t xml:space="preserve">Critical</t>
        </is>
      </c>
      <c r="G245" s="14" t="inlineStr">
        <is>
          <t xml:space="preserve">Medium</t>
        </is>
      </c>
      <c r="H245" s="14" t="inlineStr">
        <is>
          <t xml:space="preserve">Beta</t>
        </is>
      </c>
      <c r="I245" s="14" t="inlineStr">
        <is>
          <t xml:space="preserve">Published rota and clock records exist for the selected pay period.</t>
        </is>
      </c>
      <c r="J245" s="14" t="inlineStr">
        <is>
          <t xml:space="preserve">1. Prepare the stated preconditions and sign in with the required role.
2. Navigate to Attendance calculation and review.
3. Execute: Overnight shift crosses pay-period boundary.
4. Refresh or reopen the relevant page and inspect persisted data.
5. Verify UI feedback, permissions, notifications and audit records where applicable.</t>
        </is>
      </c>
      <c r="K245" s="14" t="inlineStr">
        <is>
          <t xml:space="preserve">Early, late, missed and edited clock records</t>
        </is>
      </c>
      <c r="L245" s="14" t="inlineStr">
        <is>
          <t xml:space="preserve">Hours are allocated according to documented payroll policy.</t>
        </is>
      </c>
      <c r="M245" s="14" t="inlineStr">
        <is>
          <t xml:space="preserve">Candidate</t>
        </is>
      </c>
      <c r="N245" s="14" t="inlineStr">
        <is>
          <t xml:space="preserve">Yes</t>
        </is>
      </c>
      <c r="O245" s="14" t="inlineStr">
        <is>
          <t xml:space="preserve">Active</t>
        </is>
      </c>
      <c r="P245" s="14"/>
    </row>
    <row r="246">
      <c r="A246" s="14" t="inlineStr">
        <is>
          <t xml:space="preserve">RR-0246</t>
        </is>
      </c>
      <c r="B246" s="14" t="inlineStr">
        <is>
          <t xml:space="preserve">Timesheets</t>
        </is>
      </c>
      <c r="C246" s="14" t="inlineStr">
        <is>
          <t xml:space="preserve">Attendance calculation and review</t>
        </is>
      </c>
      <c r="D246" s="14" t="inlineStr">
        <is>
          <t xml:space="preserve">Functional</t>
        </is>
      </c>
      <c r="E246" s="14" t="inlineStr">
        <is>
          <t xml:space="preserve">Split shift has two attendance segments</t>
        </is>
      </c>
      <c r="F246" s="14" t="inlineStr">
        <is>
          <t xml:space="preserve">High</t>
        </is>
      </c>
      <c r="G246" s="14" t="inlineStr">
        <is>
          <t xml:space="preserve">Medium</t>
        </is>
      </c>
      <c r="H246" s="14" t="inlineStr">
        <is>
          <t xml:space="preserve">Beta</t>
        </is>
      </c>
      <c r="I246" s="14" t="inlineStr">
        <is>
          <t xml:space="preserve">Published rota and clock records exist for the selected pay period.</t>
        </is>
      </c>
      <c r="J246" s="14" t="inlineStr">
        <is>
          <t xml:space="preserve">1. Prepare the stated preconditions and sign in with the required role.
2. Navigate to Attendance calculation and review.
3. Execute: Split shift has two attendance segments.
4. Refresh or reopen the relevant page and inspect persisted data.
5. Verify UI feedback, permissions, notifications and audit records where applicable.</t>
        </is>
      </c>
      <c r="K246" s="14" t="inlineStr">
        <is>
          <t xml:space="preserve">Early, late, missed and edited clock records</t>
        </is>
      </c>
      <c r="L246" s="14" t="inlineStr">
        <is>
          <t xml:space="preserve">Both segments reconcile to the scheduled split shift.</t>
        </is>
      </c>
      <c r="M246" s="14" t="inlineStr">
        <is>
          <t xml:space="preserve">Candidate</t>
        </is>
      </c>
      <c r="N246" s="14" t="inlineStr">
        <is>
          <t xml:space="preserve">Yes</t>
        </is>
      </c>
      <c r="O246" s="14" t="inlineStr">
        <is>
          <t xml:space="preserve">Active</t>
        </is>
      </c>
      <c r="P246" s="14"/>
    </row>
    <row r="247">
      <c r="A247" s="14" t="inlineStr">
        <is>
          <t xml:space="preserve">RR-0247</t>
        </is>
      </c>
      <c r="B247" s="14" t="inlineStr">
        <is>
          <t xml:space="preserve">Timesheets</t>
        </is>
      </c>
      <c r="C247" s="14" t="inlineStr">
        <is>
          <t xml:space="preserve">Attendance calculation and review</t>
        </is>
      </c>
      <c r="D247" s="14" t="inlineStr">
        <is>
          <t xml:space="preserve">Functional</t>
        </is>
      </c>
      <c r="E247" s="14" t="inlineStr">
        <is>
          <t xml:space="preserve">Unscheduled clock-in exists</t>
        </is>
      </c>
      <c r="F247" s="14" t="inlineStr">
        <is>
          <t xml:space="preserve">Critical</t>
        </is>
      </c>
      <c r="G247" s="14" t="inlineStr">
        <is>
          <t xml:space="preserve">Medium</t>
        </is>
      </c>
      <c r="H247" s="14" t="inlineStr">
        <is>
          <t xml:space="preserve">Beta</t>
        </is>
      </c>
      <c r="I247" s="14" t="inlineStr">
        <is>
          <t xml:space="preserve">Published rota and clock records exist for the selected pay period.</t>
        </is>
      </c>
      <c r="J247" s="14" t="inlineStr">
        <is>
          <t xml:space="preserve">1. Prepare the stated preconditions and sign in with the required role.
2. Navigate to Attendance calculation and review.
3. Execute: Unscheduled clock-in exists.
4. Refresh or reopen the relevant page and inspect persisted data.
5. Verify UI feedback, permissions, notifications and audit records where applicable.</t>
        </is>
      </c>
      <c r="K247" s="14" t="inlineStr">
        <is>
          <t xml:space="preserve">Early, late, missed and edited clock records</t>
        </is>
      </c>
      <c r="L247" s="14" t="inlineStr">
        <is>
          <t xml:space="preserve">Record is visible as an exception and can be reviewed without being lost.</t>
        </is>
      </c>
      <c r="M247" s="14" t="inlineStr">
        <is>
          <t xml:space="preserve">Candidate</t>
        </is>
      </c>
      <c r="N247" s="14" t="inlineStr">
        <is>
          <t xml:space="preserve">Yes</t>
        </is>
      </c>
      <c r="O247" s="14" t="inlineStr">
        <is>
          <t xml:space="preserve">Active</t>
        </is>
      </c>
      <c r="P247" s="14"/>
    </row>
    <row r="248">
      <c r="A248" s="14" t="inlineStr">
        <is>
          <t xml:space="preserve">RR-0248</t>
        </is>
      </c>
      <c r="B248" s="14" t="inlineStr">
        <is>
          <t xml:space="preserve">Timesheets</t>
        </is>
      </c>
      <c r="C248" s="14" t="inlineStr">
        <is>
          <t xml:space="preserve">Attendance calculation and review</t>
        </is>
      </c>
      <c r="D248" s="14" t="inlineStr">
        <is>
          <t xml:space="preserve">Security</t>
        </is>
      </c>
      <c r="E248" s="14" t="inlineStr">
        <is>
          <t xml:space="preserve">Manager edits clock-in/out time</t>
        </is>
      </c>
      <c r="F248" s="14" t="inlineStr">
        <is>
          <t xml:space="preserve">Critical</t>
        </is>
      </c>
      <c r="G248" s="14" t="inlineStr">
        <is>
          <t xml:space="preserve">Medium</t>
        </is>
      </c>
      <c r="H248" s="14" t="inlineStr">
        <is>
          <t xml:space="preserve">Beta</t>
        </is>
      </c>
      <c r="I248" s="14" t="inlineStr">
        <is>
          <t xml:space="preserve">Published rota and clock records exist for the selected pay period.</t>
        </is>
      </c>
      <c r="J248" s="14" t="inlineStr">
        <is>
          <t xml:space="preserve">1. Prepare the stated preconditions and sign in with the required role.
2. Navigate to Attendance calculation and review.
3. Execute: Manager edits clock-in/out time.
4. Refresh or reopen the relevant page and inspect persisted data.
5. Verify UI feedback, permissions, notifications and audit records where applicable.</t>
        </is>
      </c>
      <c r="K248" s="14" t="inlineStr">
        <is>
          <t xml:space="preserve">Early, late, missed and edited clock records</t>
        </is>
      </c>
      <c r="L248" s="14" t="inlineStr">
        <is>
          <t xml:space="preserve">Recalculation occurs and original value, editor and reason are audited.</t>
        </is>
      </c>
      <c r="M248" s="14" t="inlineStr">
        <is>
          <t xml:space="preserve">Candidate</t>
        </is>
      </c>
      <c r="N248" s="14" t="inlineStr">
        <is>
          <t xml:space="preserve">Yes</t>
        </is>
      </c>
      <c r="O248" s="14" t="inlineStr">
        <is>
          <t xml:space="preserve">Active</t>
        </is>
      </c>
      <c r="P248" s="14"/>
    </row>
    <row r="249">
      <c r="A249" s="14" t="inlineStr">
        <is>
          <t xml:space="preserve">RR-0249</t>
        </is>
      </c>
      <c r="B249" s="14" t="inlineStr">
        <is>
          <t xml:space="preserve">Timesheets</t>
        </is>
      </c>
      <c r="C249" s="14" t="inlineStr">
        <is>
          <t xml:space="preserve">Attendance calculation and review</t>
        </is>
      </c>
      <c r="D249" s="14" t="inlineStr">
        <is>
          <t xml:space="preserve">Functional</t>
        </is>
      </c>
      <c r="E249" s="14" t="inlineStr">
        <is>
          <t xml:space="preserve">Manager adds a missing attendance record</t>
        </is>
      </c>
      <c r="F249" s="14" t="inlineStr">
        <is>
          <t xml:space="preserve">Critical</t>
        </is>
      </c>
      <c r="G249" s="14" t="inlineStr">
        <is>
          <t xml:space="preserve">Medium</t>
        </is>
      </c>
      <c r="H249" s="14" t="inlineStr">
        <is>
          <t xml:space="preserve">Beta</t>
        </is>
      </c>
      <c r="I249" s="14" t="inlineStr">
        <is>
          <t xml:space="preserve">Published rota and clock records exist for the selected pay period.</t>
        </is>
      </c>
      <c r="J249" s="14" t="inlineStr">
        <is>
          <t xml:space="preserve">1. Prepare the stated preconditions and sign in with the required role.
2. Navigate to Attendance calculation and review.
3. Execute: Manager adds a missing attendance record.
4. Refresh or reopen the relevant page and inspect persisted data.
5. Verify UI feedback, permissions, notifications and audit records where applicable.</t>
        </is>
      </c>
      <c r="K249" s="14" t="inlineStr">
        <is>
          <t xml:space="preserve">Early, late, missed and edited clock records</t>
        </is>
      </c>
      <c r="L249" s="14" t="inlineStr">
        <is>
          <t xml:space="preserve">Manual record is marked as such and requires a reason.</t>
        </is>
      </c>
      <c r="M249" s="14" t="inlineStr">
        <is>
          <t xml:space="preserve">Candidate</t>
        </is>
      </c>
      <c r="N249" s="14" t="inlineStr">
        <is>
          <t xml:space="preserve">Yes</t>
        </is>
      </c>
      <c r="O249" s="14" t="inlineStr">
        <is>
          <t xml:space="preserve">Active</t>
        </is>
      </c>
      <c r="P249" s="14"/>
    </row>
    <row r="250">
      <c r="A250" s="14" t="inlineStr">
        <is>
          <t xml:space="preserve">RR-0250</t>
        </is>
      </c>
      <c r="B250" s="14" t="inlineStr">
        <is>
          <t xml:space="preserve">Timesheets</t>
        </is>
      </c>
      <c r="C250" s="14" t="inlineStr">
        <is>
          <t xml:space="preserve">Attendance calculation and review</t>
        </is>
      </c>
      <c r="D250" s="14" t="inlineStr">
        <is>
          <t xml:space="preserve">Security</t>
        </is>
      </c>
      <c r="E250" s="14" t="inlineStr">
        <is>
          <t xml:space="preserve">Manager deletes/voids an invalid clock record</t>
        </is>
      </c>
      <c r="F250" s="14" t="inlineStr">
        <is>
          <t xml:space="preserve">Critical</t>
        </is>
      </c>
      <c r="G250" s="14" t="inlineStr">
        <is>
          <t xml:space="preserve">Medium</t>
        </is>
      </c>
      <c r="H250" s="14" t="inlineStr">
        <is>
          <t xml:space="preserve">Beta</t>
        </is>
      </c>
      <c r="I250" s="14" t="inlineStr">
        <is>
          <t xml:space="preserve">Published rota and clock records exist for the selected pay period.</t>
        </is>
      </c>
      <c r="J250" s="14" t="inlineStr">
        <is>
          <t xml:space="preserve">1. Prepare the stated preconditions and sign in with the required role.
2. Navigate to Attendance calculation and review.
3. Execute: Manager deletes/voids an invalid clock record.
4. Refresh or reopen the relevant page and inspect persisted data.
5. Verify UI feedback, permissions, notifications and audit records where applicable.</t>
        </is>
      </c>
      <c r="K250" s="14" t="inlineStr">
        <is>
          <t xml:space="preserve">Early, late, missed and edited clock records</t>
        </is>
      </c>
      <c r="L250" s="14" t="inlineStr">
        <is>
          <t xml:space="preserve">Record remains auditable and totals update.</t>
        </is>
      </c>
      <c r="M250" s="14" t="inlineStr">
        <is>
          <t xml:space="preserve">Candidate</t>
        </is>
      </c>
      <c r="N250" s="14" t="inlineStr">
        <is>
          <t xml:space="preserve">Yes</t>
        </is>
      </c>
      <c r="O250" s="14" t="inlineStr">
        <is>
          <t xml:space="preserve">Active</t>
        </is>
      </c>
      <c r="P250" s="14"/>
    </row>
    <row r="251">
      <c r="A251" s="14" t="inlineStr">
        <is>
          <t xml:space="preserve">RR-0251</t>
        </is>
      </c>
      <c r="B251" s="14" t="inlineStr">
        <is>
          <t xml:space="preserve">Timesheets</t>
        </is>
      </c>
      <c r="C251" s="14" t="inlineStr">
        <is>
          <t xml:space="preserve">Attendance calculation and review</t>
        </is>
      </c>
      <c r="D251" s="14" t="inlineStr">
        <is>
          <t xml:space="preserve">Functional</t>
        </is>
      </c>
      <c r="E251" s="14" t="inlineStr">
        <is>
          <t xml:space="preserve">Approve an individual timesheet</t>
        </is>
      </c>
      <c r="F251" s="14" t="inlineStr">
        <is>
          <t xml:space="preserve">Critical</t>
        </is>
      </c>
      <c r="G251" s="14" t="inlineStr">
        <is>
          <t xml:space="preserve">Medium</t>
        </is>
      </c>
      <c r="H251" s="14" t="inlineStr">
        <is>
          <t xml:space="preserve">Beta</t>
        </is>
      </c>
      <c r="I251" s="14" t="inlineStr">
        <is>
          <t xml:space="preserve">Published rota and clock records exist for the selected pay period.</t>
        </is>
      </c>
      <c r="J251" s="14" t="inlineStr">
        <is>
          <t xml:space="preserve">1. Prepare the stated preconditions and sign in with the required role.
2. Navigate to Attendance calculation and review.
3. Execute: Approve an individual timesheet.
4. Refresh or reopen the relevant page and inspect persisted data.
5. Verify UI feedback, permissions, notifications and audit records where applicable.</t>
        </is>
      </c>
      <c r="K251" s="14" t="inlineStr">
        <is>
          <t xml:space="preserve">Early, late, missed and edited clock records</t>
        </is>
      </c>
      <c r="L251" s="14" t="inlineStr">
        <is>
          <t xml:space="preserve">Approved status locks or controls further edits according to policy.</t>
        </is>
      </c>
      <c r="M251" s="14" t="inlineStr">
        <is>
          <t xml:space="preserve">Candidate</t>
        </is>
      </c>
      <c r="N251" s="14" t="inlineStr">
        <is>
          <t xml:space="preserve">Yes</t>
        </is>
      </c>
      <c r="O251" s="14" t="inlineStr">
        <is>
          <t xml:space="preserve">Active</t>
        </is>
      </c>
      <c r="P251" s="14"/>
    </row>
    <row r="252">
      <c r="A252" s="14" t="inlineStr">
        <is>
          <t xml:space="preserve">RR-0252</t>
        </is>
      </c>
      <c r="B252" s="14" t="inlineStr">
        <is>
          <t xml:space="preserve">Timesheets</t>
        </is>
      </c>
      <c r="C252" s="14" t="inlineStr">
        <is>
          <t xml:space="preserve">Attendance calculation and review</t>
        </is>
      </c>
      <c r="D252" s="14" t="inlineStr">
        <is>
          <t xml:space="preserve">Functional</t>
        </is>
      </c>
      <c r="E252" s="14" t="inlineStr">
        <is>
          <t xml:space="preserve">Approve a whole location/week</t>
        </is>
      </c>
      <c r="F252" s="14" t="inlineStr">
        <is>
          <t xml:space="preserve">High</t>
        </is>
      </c>
      <c r="G252" s="14" t="inlineStr">
        <is>
          <t xml:space="preserve">Medium</t>
        </is>
      </c>
      <c r="H252" s="14" t="inlineStr">
        <is>
          <t xml:space="preserve">Beta</t>
        </is>
      </c>
      <c r="I252" s="14" t="inlineStr">
        <is>
          <t xml:space="preserve">Published rota and clock records exist for the selected pay period.</t>
        </is>
      </c>
      <c r="J252" s="14" t="inlineStr">
        <is>
          <t xml:space="preserve">1. Prepare the stated preconditions and sign in with the required role.
2. Navigate to Attendance calculation and review.
3. Execute: Approve a whole location/week.
4. Refresh or reopen the relevant page and inspect persisted data.
5. Verify UI feedback, permissions, notifications and audit records where applicable.</t>
        </is>
      </c>
      <c r="K252" s="14" t="inlineStr">
        <is>
          <t xml:space="preserve">Early, late, missed and edited clock records</t>
        </is>
      </c>
      <c r="L252" s="14" t="inlineStr">
        <is>
          <t xml:space="preserve">Only eligible reviewed records are approved and failures are reported precisely.</t>
        </is>
      </c>
      <c r="M252" s="14" t="inlineStr">
        <is>
          <t xml:space="preserve">Candidate</t>
        </is>
      </c>
      <c r="N252" s="14" t="inlineStr">
        <is>
          <t xml:space="preserve">Yes</t>
        </is>
      </c>
      <c r="O252" s="14" t="inlineStr">
        <is>
          <t xml:space="preserve">Active</t>
        </is>
      </c>
      <c r="P252" s="14"/>
    </row>
    <row r="253">
      <c r="A253" s="14" t="inlineStr">
        <is>
          <t xml:space="preserve">RR-0253</t>
        </is>
      </c>
      <c r="B253" s="14" t="inlineStr">
        <is>
          <t xml:space="preserve">Timesheets</t>
        </is>
      </c>
      <c r="C253" s="14" t="inlineStr">
        <is>
          <t xml:space="preserve">Attendance calculation and review</t>
        </is>
      </c>
      <c r="D253" s="14" t="inlineStr">
        <is>
          <t xml:space="preserve">Security</t>
        </is>
      </c>
      <c r="E253" s="14" t="inlineStr">
        <is>
          <t xml:space="preserve">Edit an approved timesheet</t>
        </is>
      </c>
      <c r="F253" s="14" t="inlineStr">
        <is>
          <t xml:space="preserve">Critical</t>
        </is>
      </c>
      <c r="G253" s="14" t="inlineStr">
        <is>
          <t xml:space="preserve">Medium</t>
        </is>
      </c>
      <c r="H253" s="14" t="inlineStr">
        <is>
          <t xml:space="preserve">Beta</t>
        </is>
      </c>
      <c r="I253" s="14" t="inlineStr">
        <is>
          <t xml:space="preserve">Published rota and clock records exist for the selected pay period.</t>
        </is>
      </c>
      <c r="J253" s="14" t="inlineStr">
        <is>
          <t xml:space="preserve">1. Prepare the stated preconditions and sign in with the required role.
2. Navigate to Attendance calculation and review.
3. Execute: Edit an approved timesheet.
4. Refresh or reopen the relevant page and inspect persisted data.
5. Verify UI feedback, permissions, notifications and audit records where applicable.</t>
        </is>
      </c>
      <c r="K253" s="14" t="inlineStr">
        <is>
          <t xml:space="preserve">Early, late, missed and edited clock records</t>
        </is>
      </c>
      <c r="L253" s="14" t="inlineStr">
        <is>
          <t xml:space="preserve">Reopen/override permission and audit rules are enforced.</t>
        </is>
      </c>
      <c r="M253" s="14" t="inlineStr">
        <is>
          <t xml:space="preserve">Candidate</t>
        </is>
      </c>
      <c r="N253" s="14" t="inlineStr">
        <is>
          <t xml:space="preserve">Yes</t>
        </is>
      </c>
      <c r="O253" s="14" t="inlineStr">
        <is>
          <t xml:space="preserve">Active</t>
        </is>
      </c>
      <c r="P253" s="14"/>
    </row>
    <row r="254">
      <c r="A254" s="14" t="inlineStr">
        <is>
          <t xml:space="preserve">RR-0254</t>
        </is>
      </c>
      <c r="B254" s="14" t="inlineStr">
        <is>
          <t xml:space="preserve">Timesheets</t>
        </is>
      </c>
      <c r="C254" s="14" t="inlineStr">
        <is>
          <t xml:space="preserve">Attendance calculation and review</t>
        </is>
      </c>
      <c r="D254" s="14" t="inlineStr">
        <is>
          <t xml:space="preserve">Security</t>
        </is>
      </c>
      <c r="E254" s="14" t="inlineStr">
        <is>
          <t xml:space="preserve">Employee views own timesheet</t>
        </is>
      </c>
      <c r="F254" s="14" t="inlineStr">
        <is>
          <t xml:space="preserve">Critical</t>
        </is>
      </c>
      <c r="G254" s="14" t="inlineStr">
        <is>
          <t xml:space="preserve">Medium</t>
        </is>
      </c>
      <c r="H254" s="14" t="inlineStr">
        <is>
          <t xml:space="preserve">Beta</t>
        </is>
      </c>
      <c r="I254" s="14" t="inlineStr">
        <is>
          <t xml:space="preserve">Published rota and clock records exist for the selected pay period.</t>
        </is>
      </c>
      <c r="J254" s="14" t="inlineStr">
        <is>
          <t xml:space="preserve">1. Prepare the stated preconditions and sign in with the required role.
2. Navigate to Attendance calculation and review.
3. Execute: Employee views own timesheet.
4. Refresh or reopen the relevant page and inspect persisted data.
5. Verify UI feedback, permissions, notifications and audit records where applicable.</t>
        </is>
      </c>
      <c r="K254" s="14" t="inlineStr">
        <is>
          <t xml:space="preserve">Early, late, missed and edited clock records</t>
        </is>
      </c>
      <c r="L254" s="14" t="inlineStr">
        <is>
          <t xml:space="preserve">Only their own permitted periods and fields are visible.</t>
        </is>
      </c>
      <c r="M254" s="14" t="inlineStr">
        <is>
          <t xml:space="preserve">Candidate</t>
        </is>
      </c>
      <c r="N254" s="14" t="inlineStr">
        <is>
          <t xml:space="preserve">Yes</t>
        </is>
      </c>
      <c r="O254" s="14" t="inlineStr">
        <is>
          <t xml:space="preserve">Active</t>
        </is>
      </c>
      <c r="P254" s="14"/>
    </row>
    <row r="255">
      <c r="A255" s="14" t="inlineStr">
        <is>
          <t xml:space="preserve">RR-0255</t>
        </is>
      </c>
      <c r="B255" s="14" t="inlineStr">
        <is>
          <t xml:space="preserve">Timesheets</t>
        </is>
      </c>
      <c r="C255" s="14" t="inlineStr">
        <is>
          <t xml:space="preserve">Attendance calculation and review</t>
        </is>
      </c>
      <c r="D255" s="14" t="inlineStr">
        <is>
          <t xml:space="preserve">Security</t>
        </is>
      </c>
      <c r="E255" s="14" t="inlineStr">
        <is>
          <t xml:space="preserve">Employee attempts to view another employee's timesheet</t>
        </is>
      </c>
      <c r="F255" s="14" t="inlineStr">
        <is>
          <t xml:space="preserve">Critical</t>
        </is>
      </c>
      <c r="G255" s="14" t="inlineStr">
        <is>
          <t xml:space="preserve">Medium</t>
        </is>
      </c>
      <c r="H255" s="14" t="inlineStr">
        <is>
          <t xml:space="preserve">Beta</t>
        </is>
      </c>
      <c r="I255" s="14" t="inlineStr">
        <is>
          <t xml:space="preserve">Published rota and clock records exist for the selected pay period.</t>
        </is>
      </c>
      <c r="J255" s="14" t="inlineStr">
        <is>
          <t xml:space="preserve">1. Prepare the stated preconditions and sign in with the required role.
2. Navigate to Attendance calculation and review.
3. Execute: Employee attempts to view another employee's timesheet.
4. Refresh or reopen the relevant page and inspect persisted data.
5. Verify UI feedback, permissions, notifications and audit records where applicable.</t>
        </is>
      </c>
      <c r="K255" s="14" t="inlineStr">
        <is>
          <t xml:space="preserve">Early, late, missed and edited clock records</t>
        </is>
      </c>
      <c r="L255" s="14" t="inlineStr">
        <is>
          <t xml:space="preserve">Access is denied server-side.</t>
        </is>
      </c>
      <c r="M255" s="14" t="inlineStr">
        <is>
          <t xml:space="preserve">Candidate</t>
        </is>
      </c>
      <c r="N255" s="14" t="inlineStr">
        <is>
          <t xml:space="preserve">Yes</t>
        </is>
      </c>
      <c r="O255" s="14" t="inlineStr">
        <is>
          <t xml:space="preserve">Active</t>
        </is>
      </c>
      <c r="P255" s="14"/>
    </row>
    <row r="256">
      <c r="A256" s="14" t="inlineStr">
        <is>
          <t xml:space="preserve">RR-0256</t>
        </is>
      </c>
      <c r="B256" s="14" t="inlineStr">
        <is>
          <t xml:space="preserve">Timesheets</t>
        </is>
      </c>
      <c r="C256" s="14" t="inlineStr">
        <is>
          <t xml:space="preserve">Attendance calculation and review</t>
        </is>
      </c>
      <c r="D256" s="14" t="inlineStr">
        <is>
          <t xml:space="preserve">Functional</t>
        </is>
      </c>
      <c r="E256" s="14" t="inlineStr">
        <is>
          <t xml:space="preserve">Switch timesheet week</t>
        </is>
      </c>
      <c r="F256" s="14" t="inlineStr">
        <is>
          <t xml:space="preserve">High</t>
        </is>
      </c>
      <c r="G256" s="14" t="inlineStr">
        <is>
          <t xml:space="preserve">Medium</t>
        </is>
      </c>
      <c r="H256" s="14" t="inlineStr">
        <is>
          <t xml:space="preserve">Beta</t>
        </is>
      </c>
      <c r="I256" s="14" t="inlineStr">
        <is>
          <t xml:space="preserve">Published rota and clock records exist for the selected pay period.</t>
        </is>
      </c>
      <c r="J256" s="14" t="inlineStr">
        <is>
          <t xml:space="preserve">1. Prepare the stated preconditions and sign in with the required role.
2. Navigate to Attendance calculation and review.
3. Execute: Switch timesheet week.
4. Refresh or reopen the relevant page and inspect persisted data.
5. Verify UI feedback, permissions, notifications and audit records where applicable.</t>
        </is>
      </c>
      <c r="K256" s="14" t="inlineStr">
        <is>
          <t xml:space="preserve">Early, late, missed and edited clock records</t>
        </is>
      </c>
      <c r="L256" s="14" t="inlineStr">
        <is>
          <t xml:space="preserve">Correct period loads with no stale totals.</t>
        </is>
      </c>
      <c r="M256" s="14" t="inlineStr">
        <is>
          <t xml:space="preserve">Candidate</t>
        </is>
      </c>
      <c r="N256" s="14" t="inlineStr">
        <is>
          <t xml:space="preserve">Yes</t>
        </is>
      </c>
      <c r="O256" s="14" t="inlineStr">
        <is>
          <t xml:space="preserve">Active</t>
        </is>
      </c>
      <c r="P256" s="14"/>
    </row>
    <row r="257">
      <c r="A257" s="14" t="inlineStr">
        <is>
          <t xml:space="preserve">RR-0257</t>
        </is>
      </c>
      <c r="B257" s="14" t="inlineStr">
        <is>
          <t xml:space="preserve">Timesheets</t>
        </is>
      </c>
      <c r="C257" s="14" t="inlineStr">
        <is>
          <t xml:space="preserve">Attendance calculation and review</t>
        </is>
      </c>
      <c r="D257" s="14" t="inlineStr">
        <is>
          <t xml:space="preserve">Functional</t>
        </is>
      </c>
      <c r="E257" s="14" t="inlineStr">
        <is>
          <t xml:space="preserve">Calculate estimated pay</t>
        </is>
      </c>
      <c r="F257" s="14" t="inlineStr">
        <is>
          <t xml:space="preserve">High</t>
        </is>
      </c>
      <c r="G257" s="14" t="inlineStr">
        <is>
          <t xml:space="preserve">Medium</t>
        </is>
      </c>
      <c r="H257" s="14" t="inlineStr">
        <is>
          <t xml:space="preserve">Beta</t>
        </is>
      </c>
      <c r="I257" s="14" t="inlineStr">
        <is>
          <t xml:space="preserve">Published rota and clock records exist for the selected pay period.</t>
        </is>
      </c>
      <c r="J257" s="14" t="inlineStr">
        <is>
          <t xml:space="preserve">1. Prepare the stated preconditions and sign in with the required role.
2. Navigate to Attendance calculation and review.
3. Execute: Calculate estimated pay.
4. Refresh or reopen the relevant page and inspect persisted data.
5. Verify UI feedback, permissions, notifications and audit records where applicable.</t>
        </is>
      </c>
      <c r="K257" s="14" t="inlineStr">
        <is>
          <t xml:space="preserve">Early, late, missed and edited clock records</t>
        </is>
      </c>
      <c r="L257" s="14" t="inlineStr">
        <is>
          <t xml:space="preserve">Pay uses approved payable hours/rates and clearly labels estimates.</t>
        </is>
      </c>
      <c r="M257" s="14" t="inlineStr">
        <is>
          <t xml:space="preserve">Candidate</t>
        </is>
      </c>
      <c r="N257" s="14" t="inlineStr">
        <is>
          <t xml:space="preserve">Yes</t>
        </is>
      </c>
      <c r="O257" s="14" t="inlineStr">
        <is>
          <t xml:space="preserve">Active</t>
        </is>
      </c>
      <c r="P257" s="14"/>
    </row>
    <row r="258">
      <c r="A258" s="14" t="inlineStr">
        <is>
          <t xml:space="preserve">RR-0258</t>
        </is>
      </c>
      <c r="B258" s="14" t="inlineStr">
        <is>
          <t xml:space="preserve">Timesheets</t>
        </is>
      </c>
      <c r="C258" s="14" t="inlineStr">
        <is>
          <t xml:space="preserve">Attendance calculation and review</t>
        </is>
      </c>
      <c r="D258" s="14" t="inlineStr">
        <is>
          <t xml:space="preserve">Functional</t>
        </is>
      </c>
      <c r="E258" s="14" t="inlineStr">
        <is>
          <t xml:space="preserve">T&amp;A add-on is cancelled</t>
        </is>
      </c>
      <c r="F258" s="14" t="inlineStr">
        <is>
          <t xml:space="preserve">Critical</t>
        </is>
      </c>
      <c r="G258" s="14" t="inlineStr">
        <is>
          <t xml:space="preserve">Medium</t>
        </is>
      </c>
      <c r="H258" s="14" t="inlineStr">
        <is>
          <t xml:space="preserve">Beta</t>
        </is>
      </c>
      <c r="I258" s="14" t="inlineStr">
        <is>
          <t xml:space="preserve">Published rota and clock records exist for the selected pay period.</t>
        </is>
      </c>
      <c r="J258" s="14" t="inlineStr">
        <is>
          <t xml:space="preserve">1. Prepare the stated preconditions and sign in with the required role.
2. Navigate to Attendance calculation and review.
3. Execute: T&amp;A add-on is cancelled.
4. Refresh or reopen the relevant page and inspect persisted data.
5. Verify UI feedback, permissions, notifications and audit records where applicable.</t>
        </is>
      </c>
      <c r="K258" s="14" t="inlineStr">
        <is>
          <t xml:space="preserve">Early, late, missed and edited clock records</t>
        </is>
      </c>
      <c r="L258" s="14" t="inlineStr">
        <is>
          <t xml:space="preserve">Historical timesheets remain readable while write/clock features are disabled.</t>
        </is>
      </c>
      <c r="M258" s="14" t="inlineStr">
        <is>
          <t xml:space="preserve">Candidate</t>
        </is>
      </c>
      <c r="N258" s="14" t="inlineStr">
        <is>
          <t xml:space="preserve">Yes</t>
        </is>
      </c>
      <c r="O258" s="14" t="inlineStr">
        <is>
          <t xml:space="preserve">Active</t>
        </is>
      </c>
      <c r="P258" s="14"/>
    </row>
    <row r="259">
      <c r="A259" s="14" t="inlineStr">
        <is>
          <t xml:space="preserve">RR-0259</t>
        </is>
      </c>
      <c r="B259" s="14" t="inlineStr">
        <is>
          <t xml:space="preserve">Timesheets</t>
        </is>
      </c>
      <c r="C259" s="14" t="inlineStr">
        <is>
          <t xml:space="preserve">Attendance calculation and review</t>
        </is>
      </c>
      <c r="D259" s="14" t="inlineStr">
        <is>
          <t xml:space="preserve">Integration</t>
        </is>
      </c>
      <c r="E259" s="14" t="inlineStr">
        <is>
          <t xml:space="preserve">Export approved timesheets</t>
        </is>
      </c>
      <c r="F259" s="14" t="inlineStr">
        <is>
          <t xml:space="preserve">High</t>
        </is>
      </c>
      <c r="G259" s="14" t="inlineStr">
        <is>
          <t xml:space="preserve">Medium</t>
        </is>
      </c>
      <c r="H259" s="14" t="inlineStr">
        <is>
          <t xml:space="preserve">Beta</t>
        </is>
      </c>
      <c r="I259" s="14" t="inlineStr">
        <is>
          <t xml:space="preserve">Published rota and clock records exist for the selected pay period.</t>
        </is>
      </c>
      <c r="J259" s="14" t="inlineStr">
        <is>
          <t xml:space="preserve">1. Prepare the stated preconditions and sign in with the required role.
2. Navigate to Attendance calculation and review.
3. Execute: Export approved timesheets.
4. Refresh or reopen the relevant page and inspect persisted data.
5. Verify UI feedback, permissions, notifications and audit records where applicable.</t>
        </is>
      </c>
      <c r="K259" s="14" t="inlineStr">
        <is>
          <t xml:space="preserve">Early, late, missed and edited clock records</t>
        </is>
      </c>
      <c r="L259" s="14" t="inlineStr">
        <is>
          <t xml:space="preserve">Export matches displayed approved values and includes required identifiers.</t>
        </is>
      </c>
      <c r="M259" s="14" t="inlineStr">
        <is>
          <t xml:space="preserve">Candidate</t>
        </is>
      </c>
      <c r="N259" s="14" t="inlineStr">
        <is>
          <t xml:space="preserve">Yes</t>
        </is>
      </c>
      <c r="O259" s="14" t="inlineStr">
        <is>
          <t xml:space="preserve">Active</t>
        </is>
      </c>
      <c r="P259" s="14"/>
    </row>
    <row r="260">
      <c r="A260" s="14" t="inlineStr">
        <is>
          <t xml:space="preserve">RR-0260</t>
        </is>
      </c>
      <c r="B260" s="14" t="inlineStr">
        <is>
          <t xml:space="preserve">Timesheets</t>
        </is>
      </c>
      <c r="C260" s="14" t="inlineStr">
        <is>
          <t xml:space="preserve">Attendance calculation and review</t>
        </is>
      </c>
      <c r="D260" s="14" t="inlineStr">
        <is>
          <t xml:space="preserve">Performance</t>
        </is>
      </c>
      <c r="E260" s="14" t="inlineStr">
        <is>
          <t xml:space="preserve">Large location timesheet page</t>
        </is>
      </c>
      <c r="F260" s="14" t="inlineStr">
        <is>
          <t xml:space="preserve">High</t>
        </is>
      </c>
      <c r="G260" s="14" t="inlineStr">
        <is>
          <t xml:space="preserve">Medium</t>
        </is>
      </c>
      <c r="H260" s="14" t="inlineStr">
        <is>
          <t xml:space="preserve">Beta</t>
        </is>
      </c>
      <c r="I260" s="14" t="inlineStr">
        <is>
          <t xml:space="preserve">Published rota and clock records exist for the selected pay period.</t>
        </is>
      </c>
      <c r="J260" s="14" t="inlineStr">
        <is>
          <t xml:space="preserve">1. Prepare the stated preconditions and sign in with the required role.
2. Navigate to Attendance calculation and review.
3. Execute: Large location timesheet page.
4. Refresh or reopen the relevant page and inspect persisted data.
5. Verify UI feedback, permissions, notifications and audit records where applicable.</t>
        </is>
      </c>
      <c r="K260" s="14" t="inlineStr">
        <is>
          <t xml:space="preserve">Early, late, missed and edited clock records</t>
        </is>
      </c>
      <c r="L260" s="14" t="inlineStr">
        <is>
          <t xml:space="preserve">Filtering, pagination and totals remain accurate for hundreds of records.</t>
        </is>
      </c>
      <c r="M260" s="14" t="inlineStr">
        <is>
          <t xml:space="preserve">Candidate</t>
        </is>
      </c>
      <c r="N260" s="14" t="inlineStr">
        <is>
          <t xml:space="preserve">Yes</t>
        </is>
      </c>
      <c r="O260" s="14" t="inlineStr">
        <is>
          <t xml:space="preserve">Active</t>
        </is>
      </c>
      <c r="P260" s="14"/>
    </row>
    <row r="261">
      <c r="A261" s="14" t="inlineStr">
        <is>
          <t xml:space="preserve">RR-0281</t>
        </is>
      </c>
      <c r="B261" s="14" t="inlineStr">
        <is>
          <t xml:space="preserve">Payroll &amp; Sage Export</t>
        </is>
      </c>
      <c r="C261" s="14" t="inlineStr">
        <is>
          <t xml:space="preserve">Payroll preparation and export</t>
        </is>
      </c>
      <c r="D261" s="14" t="inlineStr">
        <is>
          <t xml:space="preserve">Integration</t>
        </is>
      </c>
      <c r="E261" s="14" t="inlineStr">
        <is>
          <t xml:space="preserve">Export approved weekly timesheets to Sage-compatible CSV</t>
        </is>
      </c>
      <c r="F261" s="14" t="inlineStr">
        <is>
          <t xml:space="preserve">Critical</t>
        </is>
      </c>
      <c r="G261" s="14" t="inlineStr">
        <is>
          <t xml:space="preserve">Medium</t>
        </is>
      </c>
      <c r="H261" s="14" t="inlineStr">
        <is>
          <t xml:space="preserve">Beta</t>
        </is>
      </c>
      <c r="I261" s="14" t="inlineStr">
        <is>
          <t xml:space="preserve">Approved timesheets and employee payroll references exist.</t>
        </is>
      </c>
      <c r="J261" s="14" t="inlineStr">
        <is>
          <t xml:space="preserve">1. Prepare the stated preconditions and sign in with the required role.
2. Navigate to Payroll preparation and export.
3. Execute: Export approved weekly timesheets to Sage-compatible CSV.
4. Refresh or reopen the relevant page and inspect persisted data.
5. Verify UI feedback, permissions, notifications and audit records where applicable.</t>
        </is>
      </c>
      <c r="K261" s="14" t="inlineStr">
        <is>
          <t xml:space="preserve">Valid/missing/duplicate payroll references</t>
        </is>
      </c>
      <c r="L261" s="14" t="inlineStr">
        <is>
          <t xml:space="preserve">Headers, formats, totals and employee references match the configured Sage mapping.</t>
        </is>
      </c>
      <c r="M261" s="14" t="inlineStr">
        <is>
          <t xml:space="preserve">Candidate</t>
        </is>
      </c>
      <c r="N261" s="14" t="inlineStr">
        <is>
          <t xml:space="preserve">Yes</t>
        </is>
      </c>
      <c r="O261" s="14" t="inlineStr">
        <is>
          <t xml:space="preserve">Active</t>
        </is>
      </c>
      <c r="P261" s="14"/>
    </row>
    <row r="262">
      <c r="A262" s="14" t="inlineStr">
        <is>
          <t xml:space="preserve">RR-0282</t>
        </is>
      </c>
      <c r="B262" s="14" t="inlineStr">
        <is>
          <t xml:space="preserve">Payroll &amp; Sage Export</t>
        </is>
      </c>
      <c r="C262" s="14" t="inlineStr">
        <is>
          <t xml:space="preserve">Payroll preparation and export</t>
        </is>
      </c>
      <c r="D262" s="14" t="inlineStr">
        <is>
          <t xml:space="preserve">Validation</t>
        </is>
      </c>
      <c r="E262" s="14" t="inlineStr">
        <is>
          <t xml:space="preserve">Employee payroll reference is missing</t>
        </is>
      </c>
      <c r="F262" s="14" t="inlineStr">
        <is>
          <t xml:space="preserve">Critical</t>
        </is>
      </c>
      <c r="G262" s="14" t="inlineStr">
        <is>
          <t xml:space="preserve">Medium</t>
        </is>
      </c>
      <c r="H262" s="14" t="inlineStr">
        <is>
          <t xml:space="preserve">Beta</t>
        </is>
      </c>
      <c r="I262" s="14" t="inlineStr">
        <is>
          <t xml:space="preserve">Approved timesheets and employee payroll references exist.</t>
        </is>
      </c>
      <c r="J262" s="14" t="inlineStr">
        <is>
          <t xml:space="preserve">1. Prepare the stated preconditions and sign in with the required role.
2. Navigate to Payroll preparation and export.
3. Execute: Employee payroll reference is missing.
4. Refresh or reopen the relevant page and inspect persisted data.
5. Verify UI feedback, permissions, notifications and audit records where applicable.</t>
        </is>
      </c>
      <c r="K262" s="14" t="inlineStr">
        <is>
          <t xml:space="preserve">Valid/missing/duplicate payroll references</t>
        </is>
      </c>
      <c r="L262" s="14" t="inlineStr">
        <is>
          <t xml:space="preserve">Export blocks or isolates the row and reports exactly which employee needs attention.</t>
        </is>
      </c>
      <c r="M262" s="14" t="inlineStr">
        <is>
          <t xml:space="preserve">Candidate</t>
        </is>
      </c>
      <c r="N262" s="14" t="inlineStr">
        <is>
          <t xml:space="preserve">Yes</t>
        </is>
      </c>
      <c r="O262" s="14" t="inlineStr">
        <is>
          <t xml:space="preserve">Active</t>
        </is>
      </c>
      <c r="P262" s="14"/>
    </row>
    <row r="263">
      <c r="A263" s="14" t="inlineStr">
        <is>
          <t xml:space="preserve">RR-0283</t>
        </is>
      </c>
      <c r="B263" s="14" t="inlineStr">
        <is>
          <t xml:space="preserve">Payroll &amp; Sage Export</t>
        </is>
      </c>
      <c r="C263" s="14" t="inlineStr">
        <is>
          <t xml:space="preserve">Payroll preparation and export</t>
        </is>
      </c>
      <c r="D263" s="14" t="inlineStr">
        <is>
          <t xml:space="preserve">Validation</t>
        </is>
      </c>
      <c r="E263" s="14" t="inlineStr">
        <is>
          <t xml:space="preserve">Two employees share a payroll reference</t>
        </is>
      </c>
      <c r="F263" s="14" t="inlineStr">
        <is>
          <t xml:space="preserve">Critical</t>
        </is>
      </c>
      <c r="G263" s="14" t="inlineStr">
        <is>
          <t xml:space="preserve">Medium</t>
        </is>
      </c>
      <c r="H263" s="14" t="inlineStr">
        <is>
          <t xml:space="preserve">Beta</t>
        </is>
      </c>
      <c r="I263" s="14" t="inlineStr">
        <is>
          <t xml:space="preserve">Approved timesheets and employee payroll references exist.</t>
        </is>
      </c>
      <c r="J263" s="14" t="inlineStr">
        <is>
          <t xml:space="preserve">1. Prepare the stated preconditions and sign in with the required role.
2. Navigate to Payroll preparation and export.
3. Execute: Two employees share a payroll reference.
4. Refresh or reopen the relevant page and inspect persisted data.
5. Verify UI feedback, permissions, notifications and audit records where applicable.</t>
        </is>
      </c>
      <c r="K263" s="14" t="inlineStr">
        <is>
          <t xml:space="preserve">Valid/missing/duplicate payroll references</t>
        </is>
      </c>
      <c r="L263" s="14" t="inlineStr">
        <is>
          <t xml:space="preserve">Duplicate reference is flagged before export.</t>
        </is>
      </c>
      <c r="M263" s="14" t="inlineStr">
        <is>
          <t xml:space="preserve">Candidate</t>
        </is>
      </c>
      <c r="N263" s="14" t="inlineStr">
        <is>
          <t xml:space="preserve">Yes</t>
        </is>
      </c>
      <c r="O263" s="14" t="inlineStr">
        <is>
          <t xml:space="preserve">Active</t>
        </is>
      </c>
      <c r="P263" s="14"/>
    </row>
    <row r="264">
      <c r="A264" s="14" t="inlineStr">
        <is>
          <t xml:space="preserve">RR-0284</t>
        </is>
      </c>
      <c r="B264" s="14" t="inlineStr">
        <is>
          <t xml:space="preserve">Payroll &amp; Sage Export</t>
        </is>
      </c>
      <c r="C264" s="14" t="inlineStr">
        <is>
          <t xml:space="preserve">Payroll preparation and export</t>
        </is>
      </c>
      <c r="D264" s="14" t="inlineStr">
        <is>
          <t xml:space="preserve">Functional</t>
        </is>
      </c>
      <c r="E264" s="14" t="inlineStr">
        <is>
          <t xml:space="preserve">Export includes regular and overtime hours</t>
        </is>
      </c>
      <c r="F264" s="14" t="inlineStr">
        <is>
          <t xml:space="preserve">Critical</t>
        </is>
      </c>
      <c r="G264" s="14" t="inlineStr">
        <is>
          <t xml:space="preserve">Medium</t>
        </is>
      </c>
      <c r="H264" s="14" t="inlineStr">
        <is>
          <t xml:space="preserve">Beta</t>
        </is>
      </c>
      <c r="I264" s="14" t="inlineStr">
        <is>
          <t xml:space="preserve">Approved timesheets and employee payroll references exist.</t>
        </is>
      </c>
      <c r="J264" s="14" t="inlineStr">
        <is>
          <t xml:space="preserve">1. Prepare the stated preconditions and sign in with the required role.
2. Navigate to Payroll preparation and export.
3. Execute: Export includes regular and overtime hours.
4. Refresh or reopen the relevant page and inspect persisted data.
5. Verify UI feedback, permissions, notifications and audit records where applicable.</t>
        </is>
      </c>
      <c r="K264" s="14" t="inlineStr">
        <is>
          <t xml:space="preserve">Valid/missing/duplicate payroll references</t>
        </is>
      </c>
      <c r="L264" s="14" t="inlineStr">
        <is>
          <t xml:space="preserve">Hours are mapped to the correct pay codes.</t>
        </is>
      </c>
      <c r="M264" s="14" t="inlineStr">
        <is>
          <t xml:space="preserve">Candidate</t>
        </is>
      </c>
      <c r="N264" s="14" t="inlineStr">
        <is>
          <t xml:space="preserve">Yes</t>
        </is>
      </c>
      <c r="O264" s="14" t="inlineStr">
        <is>
          <t xml:space="preserve">Active</t>
        </is>
      </c>
      <c r="P264" s="14"/>
    </row>
    <row r="265">
      <c r="A265" s="14" t="inlineStr">
        <is>
          <t xml:space="preserve">RR-0285</t>
        </is>
      </c>
      <c r="B265" s="14" t="inlineStr">
        <is>
          <t xml:space="preserve">Payroll &amp; Sage Export</t>
        </is>
      </c>
      <c r="C265" s="14" t="inlineStr">
        <is>
          <t xml:space="preserve">Payroll preparation and export</t>
        </is>
      </c>
      <c r="D265" s="14" t="inlineStr">
        <is>
          <t xml:space="preserve">Functional</t>
        </is>
      </c>
      <c r="E265" s="14" t="inlineStr">
        <is>
          <t xml:space="preserve">Export includes overnight shift hours</t>
        </is>
      </c>
      <c r="F265" s="14" t="inlineStr">
        <is>
          <t xml:space="preserve">High</t>
        </is>
      </c>
      <c r="G265" s="14" t="inlineStr">
        <is>
          <t xml:space="preserve">Medium</t>
        </is>
      </c>
      <c r="H265" s="14" t="inlineStr">
        <is>
          <t xml:space="preserve">Beta</t>
        </is>
      </c>
      <c r="I265" s="14" t="inlineStr">
        <is>
          <t xml:space="preserve">Approved timesheets and employee payroll references exist.</t>
        </is>
      </c>
      <c r="J265" s="14" t="inlineStr">
        <is>
          <t xml:space="preserve">1. Prepare the stated preconditions and sign in with the required role.
2. Navigate to Payroll preparation and export.
3. Execute: Export includes overnight shift hours.
4. Refresh or reopen the relevant page and inspect persisted data.
5. Verify UI feedback, permissions, notifications and audit records where applicable.</t>
        </is>
      </c>
      <c r="K265" s="14" t="inlineStr">
        <is>
          <t xml:space="preserve">Valid/missing/duplicate payroll references</t>
        </is>
      </c>
      <c r="L265" s="14" t="inlineStr">
        <is>
          <t xml:space="preserve">Hours are allocated according to configured payroll date policy.</t>
        </is>
      </c>
      <c r="M265" s="14" t="inlineStr">
        <is>
          <t xml:space="preserve">Candidate</t>
        </is>
      </c>
      <c r="N265" s="14" t="inlineStr">
        <is>
          <t xml:space="preserve">Yes</t>
        </is>
      </c>
      <c r="O265" s="14" t="inlineStr">
        <is>
          <t xml:space="preserve">Active</t>
        </is>
      </c>
      <c r="P265" s="14"/>
    </row>
    <row r="266">
      <c r="A266" s="14" t="inlineStr">
        <is>
          <t xml:space="preserve">RR-0286</t>
        </is>
      </c>
      <c r="B266" s="14" t="inlineStr">
        <is>
          <t xml:space="preserve">Payroll &amp; Sage Export</t>
        </is>
      </c>
      <c r="C266" s="14" t="inlineStr">
        <is>
          <t xml:space="preserve">Payroll preparation and export</t>
        </is>
      </c>
      <c r="D266" s="14" t="inlineStr">
        <is>
          <t xml:space="preserve">Functional</t>
        </is>
      </c>
      <c r="E266" s="14" t="inlineStr">
        <is>
          <t xml:space="preserve">Export includes manual adjustments</t>
        </is>
      </c>
      <c r="F266" s="14" t="inlineStr">
        <is>
          <t xml:space="preserve">High</t>
        </is>
      </c>
      <c r="G266" s="14" t="inlineStr">
        <is>
          <t xml:space="preserve">Medium</t>
        </is>
      </c>
      <c r="H266" s="14" t="inlineStr">
        <is>
          <t xml:space="preserve">Beta</t>
        </is>
      </c>
      <c r="I266" s="14" t="inlineStr">
        <is>
          <t xml:space="preserve">Approved timesheets and employee payroll references exist.</t>
        </is>
      </c>
      <c r="J266" s="14" t="inlineStr">
        <is>
          <t xml:space="preserve">1. Prepare the stated preconditions and sign in with the required role.
2. Navigate to Payroll preparation and export.
3. Execute: Export includes manual adjustments.
4. Refresh or reopen the relevant page and inspect persisted data.
5. Verify UI feedback, permissions, notifications and audit records where applicable.</t>
        </is>
      </c>
      <c r="K266" s="14" t="inlineStr">
        <is>
          <t xml:space="preserve">Valid/missing/duplicate payroll references</t>
        </is>
      </c>
      <c r="L266" s="14" t="inlineStr">
        <is>
          <t xml:space="preserve">Adjustments are clearly identifiable and auditable.</t>
        </is>
      </c>
      <c r="M266" s="14" t="inlineStr">
        <is>
          <t xml:space="preserve">Candidate</t>
        </is>
      </c>
      <c r="N266" s="14" t="inlineStr">
        <is>
          <t xml:space="preserve">Yes</t>
        </is>
      </c>
      <c r="O266" s="14" t="inlineStr">
        <is>
          <t xml:space="preserve">Active</t>
        </is>
      </c>
      <c r="P266" s="14"/>
    </row>
    <row r="267">
      <c r="A267" s="14" t="inlineStr">
        <is>
          <t xml:space="preserve">RR-0287</t>
        </is>
      </c>
      <c r="B267" s="14" t="inlineStr">
        <is>
          <t xml:space="preserve">Payroll &amp; Sage Export</t>
        </is>
      </c>
      <c r="C267" s="14" t="inlineStr">
        <is>
          <t xml:space="preserve">Payroll preparation and export</t>
        </is>
      </c>
      <c r="D267" s="14" t="inlineStr">
        <is>
          <t xml:space="preserve">Functional</t>
        </is>
      </c>
      <c r="E267" s="14" t="inlineStr">
        <is>
          <t xml:space="preserve">Re-export the same approved period</t>
        </is>
      </c>
      <c r="F267" s="14" t="inlineStr">
        <is>
          <t xml:space="preserve">Critical</t>
        </is>
      </c>
      <c r="G267" s="14" t="inlineStr">
        <is>
          <t xml:space="preserve">Medium</t>
        </is>
      </c>
      <c r="H267" s="14" t="inlineStr">
        <is>
          <t xml:space="preserve">Beta</t>
        </is>
      </c>
      <c r="I267" s="14" t="inlineStr">
        <is>
          <t xml:space="preserve">Approved timesheets and employee payroll references exist.</t>
        </is>
      </c>
      <c r="J267" s="14" t="inlineStr">
        <is>
          <t xml:space="preserve">1. Prepare the stated preconditions and sign in with the required role.
2. Navigate to Payroll preparation and export.
3. Execute: Re-export the same approved period.
4. Refresh or reopen the relevant page and inspect persisted data.
5. Verify UI feedback, permissions, notifications and audit records where applicable.</t>
        </is>
      </c>
      <c r="K267" s="14" t="inlineStr">
        <is>
          <t xml:space="preserve">Valid/missing/duplicate payroll references</t>
        </is>
      </c>
      <c r="L267" s="14" t="inlineStr">
        <is>
          <t xml:space="preserve">Duplicate-payroll risk is warned and export history is retained.</t>
        </is>
      </c>
      <c r="M267" s="14" t="inlineStr">
        <is>
          <t xml:space="preserve">Candidate</t>
        </is>
      </c>
      <c r="N267" s="14" t="inlineStr">
        <is>
          <t xml:space="preserve">Yes</t>
        </is>
      </c>
      <c r="O267" s="14" t="inlineStr">
        <is>
          <t xml:space="preserve">Active</t>
        </is>
      </c>
      <c r="P267" s="14"/>
    </row>
    <row r="268">
      <c r="A268" s="14" t="inlineStr">
        <is>
          <t xml:space="preserve">RR-0288</t>
        </is>
      </c>
      <c r="B268" s="14" t="inlineStr">
        <is>
          <t xml:space="preserve">Payroll &amp; Sage Export</t>
        </is>
      </c>
      <c r="C268" s="14" t="inlineStr">
        <is>
          <t xml:space="preserve">Payroll preparation and export</t>
        </is>
      </c>
      <c r="D268" s="14" t="inlineStr">
        <is>
          <t xml:space="preserve">Functional</t>
        </is>
      </c>
      <c r="E268" s="14" t="inlineStr">
        <is>
          <t xml:space="preserve">Change payroll mapping after an earlier export</t>
        </is>
      </c>
      <c r="F268" s="14" t="inlineStr">
        <is>
          <t xml:space="preserve">High</t>
        </is>
      </c>
      <c r="G268" s="14" t="inlineStr">
        <is>
          <t xml:space="preserve">Medium</t>
        </is>
      </c>
      <c r="H268" s="14" t="inlineStr">
        <is>
          <t xml:space="preserve">Beta</t>
        </is>
      </c>
      <c r="I268" s="14" t="inlineStr">
        <is>
          <t xml:space="preserve">Approved timesheets and employee payroll references exist.</t>
        </is>
      </c>
      <c r="J268" s="14" t="inlineStr">
        <is>
          <t xml:space="preserve">1. Prepare the stated preconditions and sign in with the required role.
2. Navigate to Payroll preparation and export.
3. Execute: Change payroll mapping after an earlier export.
4. Refresh or reopen the relevant page and inspect persisted data.
5. Verify UI feedback, permissions, notifications and audit records where applicable.</t>
        </is>
      </c>
      <c r="K268" s="14" t="inlineStr">
        <is>
          <t xml:space="preserve">Valid/missing/duplicate payroll references</t>
        </is>
      </c>
      <c r="L268" s="14" t="inlineStr">
        <is>
          <t xml:space="preserve">New export uses current mapping while historical export remains reproducible.</t>
        </is>
      </c>
      <c r="M268" s="14" t="inlineStr">
        <is>
          <t xml:space="preserve">Candidate</t>
        </is>
      </c>
      <c r="N268" s="14" t="inlineStr">
        <is>
          <t xml:space="preserve">Yes</t>
        </is>
      </c>
      <c r="O268" s="14" t="inlineStr">
        <is>
          <t xml:space="preserve">Active</t>
        </is>
      </c>
      <c r="P268" s="14"/>
    </row>
    <row r="269">
      <c r="A269" s="14" t="inlineStr">
        <is>
          <t xml:space="preserve">RR-0289</t>
        </is>
      </c>
      <c r="B269" s="14" t="inlineStr">
        <is>
          <t xml:space="preserve">Payroll &amp; Sage Export</t>
        </is>
      </c>
      <c r="C269" s="14" t="inlineStr">
        <is>
          <t xml:space="preserve">Payroll preparation and export</t>
        </is>
      </c>
      <c r="D269" s="14" t="inlineStr">
        <is>
          <t xml:space="preserve">Compatibility</t>
        </is>
      </c>
      <c r="E269" s="14" t="inlineStr">
        <is>
          <t xml:space="preserve">Use employee names with commas/apostrophes</t>
        </is>
      </c>
      <c r="F269" s="14" t="inlineStr">
        <is>
          <t xml:space="preserve">High</t>
        </is>
      </c>
      <c r="G269" s="14" t="inlineStr">
        <is>
          <t xml:space="preserve">Medium</t>
        </is>
      </c>
      <c r="H269" s="14" t="inlineStr">
        <is>
          <t xml:space="preserve">Beta</t>
        </is>
      </c>
      <c r="I269" s="14" t="inlineStr">
        <is>
          <t xml:space="preserve">Approved timesheets and employee payroll references exist.</t>
        </is>
      </c>
      <c r="J269" s="14" t="inlineStr">
        <is>
          <t xml:space="preserve">1. Prepare the stated preconditions and sign in with the required role.
2. Navigate to Payroll preparation and export.
3. Execute: Use employee names with commas/apostrophes.
4. Refresh or reopen the relevant page and inspect persisted data.
5. Verify UI feedback, permissions, notifications and audit records where applicable.</t>
        </is>
      </c>
      <c r="K269" s="14" t="inlineStr">
        <is>
          <t xml:space="preserve">Valid/missing/duplicate payroll references</t>
        </is>
      </c>
      <c r="L269" s="14" t="inlineStr">
        <is>
          <t xml:space="preserve">CSV escapes values correctly.</t>
        </is>
      </c>
      <c r="M269" s="14" t="inlineStr">
        <is>
          <t xml:space="preserve">Candidate</t>
        </is>
      </c>
      <c r="N269" s="14" t="inlineStr">
        <is>
          <t xml:space="preserve">Yes</t>
        </is>
      </c>
      <c r="O269" s="14" t="inlineStr">
        <is>
          <t xml:space="preserve">Active</t>
        </is>
      </c>
      <c r="P269" s="14"/>
    </row>
    <row r="270">
      <c r="A270" s="14" t="inlineStr">
        <is>
          <t xml:space="preserve">RR-0290</t>
        </is>
      </c>
      <c r="B270" s="14" t="inlineStr">
        <is>
          <t xml:space="preserve">Payroll &amp; Sage Export</t>
        </is>
      </c>
      <c r="C270" s="14" t="inlineStr">
        <is>
          <t xml:space="preserve">Payroll preparation and export</t>
        </is>
      </c>
      <c r="D270" s="14" t="inlineStr">
        <is>
          <t xml:space="preserve">Compatibility</t>
        </is>
      </c>
      <c r="E270" s="14" t="inlineStr">
        <is>
          <t xml:space="preserve">Open CSV in common spreadsheet software</t>
        </is>
      </c>
      <c r="F270" s="14" t="inlineStr">
        <is>
          <t xml:space="preserve">Medium</t>
        </is>
      </c>
      <c r="G270" s="14" t="inlineStr">
        <is>
          <t xml:space="preserve">Medium</t>
        </is>
      </c>
      <c r="H270" s="14" t="inlineStr">
        <is>
          <t xml:space="preserve">Beta</t>
        </is>
      </c>
      <c r="I270" s="14" t="inlineStr">
        <is>
          <t xml:space="preserve">Approved timesheets and employee payroll references exist.</t>
        </is>
      </c>
      <c r="J270" s="14" t="inlineStr">
        <is>
          <t xml:space="preserve">1. Prepare the stated preconditions and sign in with the required role.
2. Navigate to Payroll preparation and export.
3. Execute: Open CSV in common spreadsheet software.
4. Refresh or reopen the relevant page and inspect persisted data.
5. Verify UI feedback, permissions, notifications and audit records where applicable.</t>
        </is>
      </c>
      <c r="K270" s="14" t="inlineStr">
        <is>
          <t xml:space="preserve">Valid/missing/duplicate payroll references</t>
        </is>
      </c>
      <c r="L270" s="14" t="inlineStr">
        <is>
          <t xml:space="preserve">Dates, leading zeros and identifiers are not unintentionally altered in the generated file.</t>
        </is>
      </c>
      <c r="M270" s="14" t="inlineStr">
        <is>
          <t xml:space="preserve">Candidate</t>
        </is>
      </c>
      <c r="N270" s="14" t="inlineStr">
        <is>
          <t xml:space="preserve">No</t>
        </is>
      </c>
      <c r="O270" s="14" t="inlineStr">
        <is>
          <t xml:space="preserve">Active</t>
        </is>
      </c>
      <c r="P270" s="14"/>
    </row>
    <row r="271">
      <c r="A271" s="14" t="inlineStr">
        <is>
          <t xml:space="preserve">RR-0291</t>
        </is>
      </c>
      <c r="B271" s="14" t="inlineStr">
        <is>
          <t xml:space="preserve">Payroll &amp; Sage Export</t>
        </is>
      </c>
      <c r="C271" s="14" t="inlineStr">
        <is>
          <t xml:space="preserve">Payroll preparation and export</t>
        </is>
      </c>
      <c r="D271" s="14" t="inlineStr">
        <is>
          <t xml:space="preserve">Security</t>
        </is>
      </c>
      <c r="E271" s="14" t="inlineStr">
        <is>
          <t xml:space="preserve">Manager without payroll permission attempts export</t>
        </is>
      </c>
      <c r="F271" s="14" t="inlineStr">
        <is>
          <t xml:space="preserve">Critical</t>
        </is>
      </c>
      <c r="G271" s="14" t="inlineStr">
        <is>
          <t xml:space="preserve">Medium</t>
        </is>
      </c>
      <c r="H271" s="14" t="inlineStr">
        <is>
          <t xml:space="preserve">Beta</t>
        </is>
      </c>
      <c r="I271" s="14" t="inlineStr">
        <is>
          <t xml:space="preserve">Approved timesheets and employee payroll references exist.</t>
        </is>
      </c>
      <c r="J271" s="14" t="inlineStr">
        <is>
          <t xml:space="preserve">1. Prepare the stated preconditions and sign in with the required role.
2. Navigate to Payroll preparation and export.
3. Execute: Manager without payroll permission attempts export.
4. Refresh or reopen the relevant page and inspect persisted data.
5. Verify UI feedback, permissions, notifications and audit records where applicable.</t>
        </is>
      </c>
      <c r="K271" s="14" t="inlineStr">
        <is>
          <t xml:space="preserve">Valid/missing/duplicate payroll references</t>
        </is>
      </c>
      <c r="L271" s="14" t="inlineStr">
        <is>
          <t xml:space="preserve">Export is denied server-side.</t>
        </is>
      </c>
      <c r="M271" s="14" t="inlineStr">
        <is>
          <t xml:space="preserve">Candidate</t>
        </is>
      </c>
      <c r="N271" s="14" t="inlineStr">
        <is>
          <t xml:space="preserve">Yes</t>
        </is>
      </c>
      <c r="O271" s="14" t="inlineStr">
        <is>
          <t xml:space="preserve">Active</t>
        </is>
      </c>
      <c r="P271" s="14"/>
    </row>
    <row r="272">
      <c r="A272" s="14" t="inlineStr">
        <is>
          <t xml:space="preserve">RR-0292</t>
        </is>
      </c>
      <c r="B272" s="14" t="inlineStr">
        <is>
          <t xml:space="preserve">Payroll &amp; Sage Export</t>
        </is>
      </c>
      <c r="C272" s="14" t="inlineStr">
        <is>
          <t xml:space="preserve">Payroll preparation and export</t>
        </is>
      </c>
      <c r="D272" s="14" t="inlineStr">
        <is>
          <t xml:space="preserve">Performance</t>
        </is>
      </c>
      <c r="E272" s="14" t="inlineStr">
        <is>
          <t xml:space="preserve">Export a large multi-location payroll period</t>
        </is>
      </c>
      <c r="F272" s="14" t="inlineStr">
        <is>
          <t xml:space="preserve">High</t>
        </is>
      </c>
      <c r="G272" s="14" t="inlineStr">
        <is>
          <t xml:space="preserve">Medium</t>
        </is>
      </c>
      <c r="H272" s="14" t="inlineStr">
        <is>
          <t xml:space="preserve">Beta</t>
        </is>
      </c>
      <c r="I272" s="14" t="inlineStr">
        <is>
          <t xml:space="preserve">Approved timesheets and employee payroll references exist.</t>
        </is>
      </c>
      <c r="J272" s="14" t="inlineStr">
        <is>
          <t xml:space="preserve">1. Prepare the stated preconditions and sign in with the required role.
2. Navigate to Payroll preparation and export.
3. Execute: Export a large multi-location payroll period.
4. Refresh or reopen the relevant page and inspect persisted data.
5. Verify UI feedback, permissions, notifications and audit records where applicable.</t>
        </is>
      </c>
      <c r="K272" s="14" t="inlineStr">
        <is>
          <t xml:space="preserve">Valid/missing/duplicate payroll references</t>
        </is>
      </c>
      <c r="L272" s="14" t="inlineStr">
        <is>
          <t xml:space="preserve">All included locations reconcile and generation completes within target.</t>
        </is>
      </c>
      <c r="M272" s="14" t="inlineStr">
        <is>
          <t xml:space="preserve">Candidate</t>
        </is>
      </c>
      <c r="N272" s="14" t="inlineStr">
        <is>
          <t xml:space="preserve">Yes</t>
        </is>
      </c>
      <c r="O272" s="14" t="inlineStr">
        <is>
          <t xml:space="preserve">Active</t>
        </is>
      </c>
      <c r="P272" s="14"/>
    </row>
    <row r="273">
      <c r="A273" s="14" t="inlineStr">
        <is>
          <t xml:space="preserve">RR-0293</t>
        </is>
      </c>
      <c r="B273" s="14" t="inlineStr">
        <is>
          <t xml:space="preserve">Billing &amp; Stripe</t>
        </is>
      </c>
      <c r="C273" s="14" t="inlineStr">
        <is>
          <t xml:space="preserve">Trials, subscriptions and invoices</t>
        </is>
      </c>
      <c r="D273" s="14" t="inlineStr">
        <is>
          <t xml:space="preserve">Integration</t>
        </is>
      </c>
      <c r="E273" s="14" t="inlineStr">
        <is>
          <t xml:space="preserve">Start a trial without a payment card</t>
        </is>
      </c>
      <c r="F273" s="14" t="inlineStr">
        <is>
          <t xml:space="preserve">Critical</t>
        </is>
      </c>
      <c r="G273" s="14" t="inlineStr">
        <is>
          <t xml:space="preserve">Medium</t>
        </is>
      </c>
      <c r="H273" s="14" t="inlineStr">
        <is>
          <t xml:space="preserve">Beta</t>
        </is>
      </c>
      <c r="I273" s="14" t="inlineStr">
        <is>
          <t xml:space="preserve">Stripe test mode; organisation with configurable locations, employees and add-ons.</t>
        </is>
      </c>
      <c r="J273" s="14" t="inlineStr">
        <is>
          <t xml:space="preserve">1. Prepare the stated preconditions and sign in with the required role.
2. Navigate to Trials, subscriptions and invoices.
3. Execute: Start a trial without a payment card.
4. Refresh or reopen the relevant page and inspect persisted data.
5. Verify UI feedback, permissions, notifications and audit records where applicable.</t>
        </is>
      </c>
      <c r="K273" s="14" t="inlineStr">
        <is>
          <t xml:space="preserve">Trials, cards, failed payments, multiple locations and mixed T&amp;A</t>
        </is>
      </c>
      <c r="L273" s="14" t="inlineStr">
        <is>
          <t xml:space="preserve">Trial begins once with correct end date and feature access.</t>
        </is>
      </c>
      <c r="M273" s="14" t="inlineStr">
        <is>
          <t xml:space="preserve">Candidate</t>
        </is>
      </c>
      <c r="N273" s="14" t="inlineStr">
        <is>
          <t xml:space="preserve">Yes</t>
        </is>
      </c>
      <c r="O273" s="14" t="inlineStr">
        <is>
          <t xml:space="preserve">Active</t>
        </is>
      </c>
      <c r="P273" s="14"/>
    </row>
    <row r="274">
      <c r="A274" s="14" t="inlineStr">
        <is>
          <t xml:space="preserve">RR-0294</t>
        </is>
      </c>
      <c r="B274" s="14" t="inlineStr">
        <is>
          <t xml:space="preserve">Billing &amp; Stripe</t>
        </is>
      </c>
      <c r="C274" s="14" t="inlineStr">
        <is>
          <t xml:space="preserve">Trials, subscriptions and invoices</t>
        </is>
      </c>
      <c r="D274" s="14" t="inlineStr">
        <is>
          <t xml:space="preserve">Functional</t>
        </is>
      </c>
      <c r="E274" s="14" t="inlineStr">
        <is>
          <t xml:space="preserve">Trial expires without a payment method</t>
        </is>
      </c>
      <c r="F274" s="14" t="inlineStr">
        <is>
          <t xml:space="preserve">Critical</t>
        </is>
      </c>
      <c r="G274" s="14" t="inlineStr">
        <is>
          <t xml:space="preserve">Medium</t>
        </is>
      </c>
      <c r="H274" s="14" t="inlineStr">
        <is>
          <t xml:space="preserve">Beta</t>
        </is>
      </c>
      <c r="I274" s="14" t="inlineStr">
        <is>
          <t xml:space="preserve">Stripe test mode; organisation with configurable locations, employees and add-ons.</t>
        </is>
      </c>
      <c r="J274" s="14" t="inlineStr">
        <is>
          <t xml:space="preserve">1. Prepare the stated preconditions and sign in with the required role.
2. Navigate to Trials, subscriptions and invoices.
3. Execute: Trial expires without a payment method.
4. Refresh or reopen the relevant page and inspect persisted data.
5. Verify UI feedback, permissions, notifications and audit records where applicable.</t>
        </is>
      </c>
      <c r="K274" s="14" t="inlineStr">
        <is>
          <t xml:space="preserve">Trials, cards, failed payments, multiple locations and mixed T&amp;A</t>
        </is>
      </c>
      <c r="L274" s="14" t="inlineStr">
        <is>
          <t xml:space="preserve">Account enters the documented restricted state without deleting customer data.</t>
        </is>
      </c>
      <c r="M274" s="14" t="inlineStr">
        <is>
          <t xml:space="preserve">Candidate</t>
        </is>
      </c>
      <c r="N274" s="14" t="inlineStr">
        <is>
          <t xml:space="preserve">Yes</t>
        </is>
      </c>
      <c r="O274" s="14" t="inlineStr">
        <is>
          <t xml:space="preserve">Active</t>
        </is>
      </c>
      <c r="P274" s="14"/>
    </row>
    <row r="275">
      <c r="A275" s="14" t="inlineStr">
        <is>
          <t xml:space="preserve">RR-0295</t>
        </is>
      </c>
      <c r="B275" s="14" t="inlineStr">
        <is>
          <t xml:space="preserve">Billing &amp; Stripe</t>
        </is>
      </c>
      <c r="C275" s="14" t="inlineStr">
        <is>
          <t xml:space="preserve">Trials, subscriptions and invoices</t>
        </is>
      </c>
      <c r="D275" s="14" t="inlineStr">
        <is>
          <t xml:space="preserve">Integration</t>
        </is>
      </c>
      <c r="E275" s="14" t="inlineStr">
        <is>
          <t xml:space="preserve">Add a valid payment method during trial</t>
        </is>
      </c>
      <c r="F275" s="14" t="inlineStr">
        <is>
          <t xml:space="preserve">Critical</t>
        </is>
      </c>
      <c r="G275" s="14" t="inlineStr">
        <is>
          <t xml:space="preserve">Medium</t>
        </is>
      </c>
      <c r="H275" s="14" t="inlineStr">
        <is>
          <t xml:space="preserve">Beta</t>
        </is>
      </c>
      <c r="I275" s="14" t="inlineStr">
        <is>
          <t xml:space="preserve">Stripe test mode; organisation with configurable locations, employees and add-ons.</t>
        </is>
      </c>
      <c r="J275" s="14" t="inlineStr">
        <is>
          <t xml:space="preserve">1. Prepare the stated preconditions and sign in with the required role.
2. Navigate to Trials, subscriptions and invoices.
3. Execute: Add a valid payment method during trial.
4. Refresh or reopen the relevant page and inspect persisted data.
5. Verify UI feedback, permissions, notifications and audit records where applicable.</t>
        </is>
      </c>
      <c r="K275" s="14" t="inlineStr">
        <is>
          <t xml:space="preserve">Trials, cards, failed payments, multiple locations and mixed T&amp;A</t>
        </is>
      </c>
      <c r="L275" s="14" t="inlineStr">
        <is>
          <t xml:space="preserve">Method attaches securely and subscription activates at the correct time.</t>
        </is>
      </c>
      <c r="M275" s="14" t="inlineStr">
        <is>
          <t xml:space="preserve">Candidate</t>
        </is>
      </c>
      <c r="N275" s="14" t="inlineStr">
        <is>
          <t xml:space="preserve">Yes</t>
        </is>
      </c>
      <c r="O275" s="14" t="inlineStr">
        <is>
          <t xml:space="preserve">Active</t>
        </is>
      </c>
      <c r="P275" s="14"/>
    </row>
    <row r="276">
      <c r="A276" s="14" t="inlineStr">
        <is>
          <t xml:space="preserve">RR-0296</t>
        </is>
      </c>
      <c r="B276" s="14" t="inlineStr">
        <is>
          <t xml:space="preserve">Billing &amp; Stripe</t>
        </is>
      </c>
      <c r="C276" s="14" t="inlineStr">
        <is>
          <t xml:space="preserve">Trials, subscriptions and invoices</t>
        </is>
      </c>
      <c r="D276" s="14" t="inlineStr">
        <is>
          <t xml:space="preserve">Integration</t>
        </is>
      </c>
      <c r="E276" s="14" t="inlineStr">
        <is>
          <t xml:space="preserve">Trial converts to paid subscription</t>
        </is>
      </c>
      <c r="F276" s="14" t="inlineStr">
        <is>
          <t xml:space="preserve">Critical</t>
        </is>
      </c>
      <c r="G276" s="14" t="inlineStr">
        <is>
          <t xml:space="preserve">Medium</t>
        </is>
      </c>
      <c r="H276" s="14" t="inlineStr">
        <is>
          <t xml:space="preserve">Beta</t>
        </is>
      </c>
      <c r="I276" s="14" t="inlineStr">
        <is>
          <t xml:space="preserve">Stripe test mode; organisation with configurable locations, employees and add-ons.</t>
        </is>
      </c>
      <c r="J276" s="14" t="inlineStr">
        <is>
          <t xml:space="preserve">1. Prepare the stated preconditions and sign in with the required role.
2. Navigate to Trials, subscriptions and invoices.
3. Execute: Trial converts to paid subscription.
4. Refresh or reopen the relevant page and inspect persisted data.
5. Verify UI feedback, permissions, notifications and audit records where applicable.</t>
        </is>
      </c>
      <c r="K276" s="14" t="inlineStr">
        <is>
          <t xml:space="preserve">Trials, cards, failed payments, multiple locations and mixed T&amp;A</t>
        </is>
      </c>
      <c r="L276" s="14" t="inlineStr">
        <is>
          <t xml:space="preserve">Only one subscription/invoice is created for the correct amount.</t>
        </is>
      </c>
      <c r="M276" s="14" t="inlineStr">
        <is>
          <t xml:space="preserve">Candidate</t>
        </is>
      </c>
      <c r="N276" s="14" t="inlineStr">
        <is>
          <t xml:space="preserve">Yes</t>
        </is>
      </c>
      <c r="O276" s="14" t="inlineStr">
        <is>
          <t xml:space="preserve">Active</t>
        </is>
      </c>
      <c r="P276" s="14"/>
    </row>
    <row r="277">
      <c r="A277" s="14" t="inlineStr">
        <is>
          <t xml:space="preserve">RR-0297</t>
        </is>
      </c>
      <c r="B277" s="14" t="inlineStr">
        <is>
          <t xml:space="preserve">Billing &amp; Stripe</t>
        </is>
      </c>
      <c r="C277" s="14" t="inlineStr">
        <is>
          <t xml:space="preserve">Trials, subscriptions and invoices</t>
        </is>
      </c>
      <c r="D277" s="14" t="inlineStr">
        <is>
          <t xml:space="preserve">Functional</t>
        </is>
      </c>
      <c r="E277" s="14" t="inlineStr">
        <is>
          <t xml:space="preserve">Apply annual billing</t>
        </is>
      </c>
      <c r="F277" s="14" t="inlineStr">
        <is>
          <t xml:space="preserve">Critical</t>
        </is>
      </c>
      <c r="G277" s="14" t="inlineStr">
        <is>
          <t xml:space="preserve">Medium</t>
        </is>
      </c>
      <c r="H277" s="14" t="inlineStr">
        <is>
          <t xml:space="preserve">Beta</t>
        </is>
      </c>
      <c r="I277" s="14" t="inlineStr">
        <is>
          <t xml:space="preserve">Stripe test mode; organisation with configurable locations, employees and add-ons.</t>
        </is>
      </c>
      <c r="J277" s="14" t="inlineStr">
        <is>
          <t xml:space="preserve">1. Prepare the stated preconditions and sign in with the required role.
2. Navigate to Trials, subscriptions and invoices.
3. Execute: Apply annual billing.
4. Refresh or reopen the relevant page and inspect persisted data.
5. Verify UI feedback, permissions, notifications and audit records where applicable.</t>
        </is>
      </c>
      <c r="K277" s="14" t="inlineStr">
        <is>
          <t xml:space="preserve">Trials, cards, failed payments, multiple locations and mixed T&amp;A</t>
        </is>
      </c>
      <c r="L277" s="14" t="inlineStr">
        <is>
          <t xml:space="preserve">Single annual charge, discount and renewal date are correct.</t>
        </is>
      </c>
      <c r="M277" s="14" t="inlineStr">
        <is>
          <t xml:space="preserve">Candidate</t>
        </is>
      </c>
      <c r="N277" s="14" t="inlineStr">
        <is>
          <t xml:space="preserve">Yes</t>
        </is>
      </c>
      <c r="O277" s="14" t="inlineStr">
        <is>
          <t xml:space="preserve">Active</t>
        </is>
      </c>
      <c r="P277" s="14"/>
    </row>
    <row r="278">
      <c r="A278" s="14" t="inlineStr">
        <is>
          <t xml:space="preserve">RR-0298</t>
        </is>
      </c>
      <c r="B278" s="14" t="inlineStr">
        <is>
          <t xml:space="preserve">Billing &amp; Stripe</t>
        </is>
      </c>
      <c r="C278" s="14" t="inlineStr">
        <is>
          <t xml:space="preserve">Trials, subscriptions and invoices</t>
        </is>
      </c>
      <c r="D278" s="14" t="inlineStr">
        <is>
          <t xml:space="preserve">Functional</t>
        </is>
      </c>
      <c r="E278" s="14" t="inlineStr">
        <is>
          <t xml:space="preserve">Switch monthly to annual</t>
        </is>
      </c>
      <c r="F278" s="14" t="inlineStr">
        <is>
          <t xml:space="preserve">High</t>
        </is>
      </c>
      <c r="G278" s="14" t="inlineStr">
        <is>
          <t xml:space="preserve">Medium</t>
        </is>
      </c>
      <c r="H278" s="14" t="inlineStr">
        <is>
          <t xml:space="preserve">Beta</t>
        </is>
      </c>
      <c r="I278" s="14" t="inlineStr">
        <is>
          <t xml:space="preserve">Stripe test mode; organisation with configurable locations, employees and add-ons.</t>
        </is>
      </c>
      <c r="J278" s="14" t="inlineStr">
        <is>
          <t xml:space="preserve">1. Prepare the stated preconditions and sign in with the required role.
2. Navigate to Trials, subscriptions and invoices.
3. Execute: Switch monthly to annual.
4. Refresh or reopen the relevant page and inspect persisted data.
5. Verify UI feedback, permissions, notifications and audit records where applicable.</t>
        </is>
      </c>
      <c r="K278" s="14" t="inlineStr">
        <is>
          <t xml:space="preserve">Trials, cards, failed payments, multiple locations and mixed T&amp;A</t>
        </is>
      </c>
      <c r="L278" s="14" t="inlineStr">
        <is>
          <t xml:space="preserve">Proration and effective date match the displayed confirmation.</t>
        </is>
      </c>
      <c r="M278" s="14" t="inlineStr">
        <is>
          <t xml:space="preserve">Candidate</t>
        </is>
      </c>
      <c r="N278" s="14" t="inlineStr">
        <is>
          <t xml:space="preserve">Yes</t>
        </is>
      </c>
      <c r="O278" s="14" t="inlineStr">
        <is>
          <t xml:space="preserve">Active</t>
        </is>
      </c>
      <c r="P278" s="14"/>
    </row>
    <row r="279">
      <c r="A279" s="14" t="inlineStr">
        <is>
          <t xml:space="preserve">RR-0299</t>
        </is>
      </c>
      <c r="B279" s="14" t="inlineStr">
        <is>
          <t xml:space="preserve">Billing &amp; Stripe</t>
        </is>
      </c>
      <c r="C279" s="14" t="inlineStr">
        <is>
          <t xml:space="preserve">Trials, subscriptions and invoices</t>
        </is>
      </c>
      <c r="D279" s="14" t="inlineStr">
        <is>
          <t xml:space="preserve">Functional</t>
        </is>
      </c>
      <c r="E279" s="14" t="inlineStr">
        <is>
          <t xml:space="preserve">Cancel at period end</t>
        </is>
      </c>
      <c r="F279" s="14" t="inlineStr">
        <is>
          <t xml:space="preserve">Critical</t>
        </is>
      </c>
      <c r="G279" s="14" t="inlineStr">
        <is>
          <t xml:space="preserve">Medium</t>
        </is>
      </c>
      <c r="H279" s="14" t="inlineStr">
        <is>
          <t xml:space="preserve">Beta</t>
        </is>
      </c>
      <c r="I279" s="14" t="inlineStr">
        <is>
          <t xml:space="preserve">Stripe test mode; organisation with configurable locations, employees and add-ons.</t>
        </is>
      </c>
      <c r="J279" s="14" t="inlineStr">
        <is>
          <t xml:space="preserve">1. Prepare the stated preconditions and sign in with the required role.
2. Navigate to Trials, subscriptions and invoices.
3. Execute: Cancel at period end.
4. Refresh or reopen the relevant page and inspect persisted data.
5. Verify UI feedback, permissions, notifications and audit records where applicable.</t>
        </is>
      </c>
      <c r="K279" s="14" t="inlineStr">
        <is>
          <t xml:space="preserve">Trials, cards, failed payments, multiple locations and mixed T&amp;A</t>
        </is>
      </c>
      <c r="L279" s="14" t="inlineStr">
        <is>
          <t xml:space="preserve">Access continues until period end and renewal is stopped.</t>
        </is>
      </c>
      <c r="M279" s="14" t="inlineStr">
        <is>
          <t xml:space="preserve">Candidate</t>
        </is>
      </c>
      <c r="N279" s="14" t="inlineStr">
        <is>
          <t xml:space="preserve">Yes</t>
        </is>
      </c>
      <c r="O279" s="14" t="inlineStr">
        <is>
          <t xml:space="preserve">Active</t>
        </is>
      </c>
      <c r="P279" s="14"/>
    </row>
    <row r="280">
      <c r="A280" s="14" t="inlineStr">
        <is>
          <t xml:space="preserve">RR-0300</t>
        </is>
      </c>
      <c r="B280" s="14" t="inlineStr">
        <is>
          <t xml:space="preserve">Billing &amp; Stripe</t>
        </is>
      </c>
      <c r="C280" s="14" t="inlineStr">
        <is>
          <t xml:space="preserve">Trials, subscriptions and invoices</t>
        </is>
      </c>
      <c r="D280" s="14" t="inlineStr">
        <is>
          <t xml:space="preserve">Functional</t>
        </is>
      </c>
      <c r="E280" s="14" t="inlineStr">
        <is>
          <t xml:space="preserve">Reactivate before cancellation date</t>
        </is>
      </c>
      <c r="F280" s="14" t="inlineStr">
        <is>
          <t xml:space="preserve">High</t>
        </is>
      </c>
      <c r="G280" s="14" t="inlineStr">
        <is>
          <t xml:space="preserve">Medium</t>
        </is>
      </c>
      <c r="H280" s="14" t="inlineStr">
        <is>
          <t xml:space="preserve">Beta</t>
        </is>
      </c>
      <c r="I280" s="14" t="inlineStr">
        <is>
          <t xml:space="preserve">Stripe test mode; organisation with configurable locations, employees and add-ons.</t>
        </is>
      </c>
      <c r="J280" s="14" t="inlineStr">
        <is>
          <t xml:space="preserve">1. Prepare the stated preconditions and sign in with the required role.
2. Navigate to Trials, subscriptions and invoices.
3. Execute: Reactivate before cancellation date.
4. Refresh or reopen the relevant page and inspect persisted data.
5. Verify UI feedback, permissions, notifications and audit records where applicable.</t>
        </is>
      </c>
      <c r="K280" s="14" t="inlineStr">
        <is>
          <t xml:space="preserve">Trials, cards, failed payments, multiple locations and mixed T&amp;A</t>
        </is>
      </c>
      <c r="L280" s="14" t="inlineStr">
        <is>
          <t xml:space="preserve">Scheduled cancellation is removed without duplicate subscription.</t>
        </is>
      </c>
      <c r="M280" s="14" t="inlineStr">
        <is>
          <t xml:space="preserve">Candidate</t>
        </is>
      </c>
      <c r="N280" s="14" t="inlineStr">
        <is>
          <t xml:space="preserve">Yes</t>
        </is>
      </c>
      <c r="O280" s="14" t="inlineStr">
        <is>
          <t xml:space="preserve">Active</t>
        </is>
      </c>
      <c r="P280" s="14"/>
    </row>
    <row r="281">
      <c r="A281" s="14" t="inlineStr">
        <is>
          <t xml:space="preserve">RR-0301</t>
        </is>
      </c>
      <c r="B281" s="14" t="inlineStr">
        <is>
          <t xml:space="preserve">Billing &amp; Stripe</t>
        </is>
      </c>
      <c r="C281" s="14" t="inlineStr">
        <is>
          <t xml:space="preserve">Trials, subscriptions and invoices</t>
        </is>
      </c>
      <c r="D281" s="14" t="inlineStr">
        <is>
          <t xml:space="preserve">Functional</t>
        </is>
      </c>
      <c r="E281" s="14" t="inlineStr">
        <is>
          <t xml:space="preserve">Invoice and receipt display organisation/location details</t>
        </is>
      </c>
      <c r="F281" s="14" t="inlineStr">
        <is>
          <t xml:space="preserve">High</t>
        </is>
      </c>
      <c r="G281" s="14" t="inlineStr">
        <is>
          <t xml:space="preserve">Medium</t>
        </is>
      </c>
      <c r="H281" s="14" t="inlineStr">
        <is>
          <t xml:space="preserve">Beta</t>
        </is>
      </c>
      <c r="I281" s="14" t="inlineStr">
        <is>
          <t xml:space="preserve">Stripe test mode; organisation with configurable locations, employees and add-ons.</t>
        </is>
      </c>
      <c r="J281" s="14" t="inlineStr">
        <is>
          <t xml:space="preserve">1. Prepare the stated preconditions and sign in with the required role.
2. Navigate to Trials, subscriptions and invoices.
3. Execute: Invoice and receipt display organisation/location details.
4. Refresh or reopen the relevant page and inspect persisted data.
5. Verify UI feedback, permissions, notifications and audit records where applicable.</t>
        </is>
      </c>
      <c r="K281" s="14" t="inlineStr">
        <is>
          <t xml:space="preserve">Trials, cards, failed payments, multiple locations and mixed T&amp;A</t>
        </is>
      </c>
      <c r="L281" s="14" t="inlineStr">
        <is>
          <t xml:space="preserve">Billing documents contain correct customer, tax and line-item information.</t>
        </is>
      </c>
      <c r="M281" s="14" t="inlineStr">
        <is>
          <t xml:space="preserve">Candidate</t>
        </is>
      </c>
      <c r="N281" s="14" t="inlineStr">
        <is>
          <t xml:space="preserve">Yes</t>
        </is>
      </c>
      <c r="O281" s="14" t="inlineStr">
        <is>
          <t xml:space="preserve">Active</t>
        </is>
      </c>
      <c r="P281" s="14"/>
    </row>
    <row r="282">
      <c r="A282" s="14" t="inlineStr">
        <is>
          <t xml:space="preserve">RR-0302</t>
        </is>
      </c>
      <c r="B282" s="14" t="inlineStr">
        <is>
          <t xml:space="preserve">Billing &amp; Stripe</t>
        </is>
      </c>
      <c r="C282" s="14" t="inlineStr">
        <is>
          <t xml:space="preserve">Trials, subscriptions and invoices</t>
        </is>
      </c>
      <c r="D282" s="14" t="inlineStr">
        <is>
          <t xml:space="preserve">Concurrency</t>
        </is>
      </c>
      <c r="E282" s="14" t="inlineStr">
        <is>
          <t xml:space="preserve">Stripe webhook is delivered twice</t>
        </is>
      </c>
      <c r="F282" s="14" t="inlineStr">
        <is>
          <t xml:space="preserve">Critical</t>
        </is>
      </c>
      <c r="G282" s="14" t="inlineStr">
        <is>
          <t xml:space="preserve">Medium</t>
        </is>
      </c>
      <c r="H282" s="14" t="inlineStr">
        <is>
          <t xml:space="preserve">Beta</t>
        </is>
      </c>
      <c r="I282" s="14" t="inlineStr">
        <is>
          <t xml:space="preserve">Stripe test mode; organisation with configurable locations, employees and add-ons.</t>
        </is>
      </c>
      <c r="J282" s="14" t="inlineStr">
        <is>
          <t xml:space="preserve">1. Prepare the stated preconditions and sign in with the required role.
2. Navigate to Trials, subscriptions and invoices.
3. Execute: Stripe webhook is delivered twice.
4. Refresh or reopen the relevant page and inspect persisted data.
5. Verify UI feedback, permissions, notifications and audit records where applicable.</t>
        </is>
      </c>
      <c r="K282" s="14" t="inlineStr">
        <is>
          <t xml:space="preserve">Trials, cards, failed payments, multiple locations and mixed T&amp;A</t>
        </is>
      </c>
      <c r="L282" s="14" t="inlineStr">
        <is>
          <t xml:space="preserve">Webhook processing is idempotent.</t>
        </is>
      </c>
      <c r="M282" s="14" t="inlineStr">
        <is>
          <t xml:space="preserve">Candidate</t>
        </is>
      </c>
      <c r="N282" s="14" t="inlineStr">
        <is>
          <t xml:space="preserve">Yes</t>
        </is>
      </c>
      <c r="O282" s="14" t="inlineStr">
        <is>
          <t xml:space="preserve">Active</t>
        </is>
      </c>
      <c r="P282" s="14"/>
    </row>
    <row r="283">
      <c r="A283" s="14" t="inlineStr">
        <is>
          <t xml:space="preserve">RR-0303</t>
        </is>
      </c>
      <c r="B283" s="14" t="inlineStr">
        <is>
          <t xml:space="preserve">Billing &amp; Stripe</t>
        </is>
      </c>
      <c r="C283" s="14" t="inlineStr">
        <is>
          <t xml:space="preserve">Trials, subscriptions and invoices</t>
        </is>
      </c>
      <c r="D283" s="14" t="inlineStr">
        <is>
          <t xml:space="preserve">Reliability</t>
        </is>
      </c>
      <c r="E283" s="14" t="inlineStr">
        <is>
          <t xml:space="preserve">Webhook arrives out of order</t>
        </is>
      </c>
      <c r="F283" s="14" t="inlineStr">
        <is>
          <t xml:space="preserve">Critical</t>
        </is>
      </c>
      <c r="G283" s="14" t="inlineStr">
        <is>
          <t xml:space="preserve">Medium</t>
        </is>
      </c>
      <c r="H283" s="14" t="inlineStr">
        <is>
          <t xml:space="preserve">Beta</t>
        </is>
      </c>
      <c r="I283" s="14" t="inlineStr">
        <is>
          <t xml:space="preserve">Stripe test mode; organisation with configurable locations, employees and add-ons.</t>
        </is>
      </c>
      <c r="J283" s="14" t="inlineStr">
        <is>
          <t xml:space="preserve">1. Prepare the stated preconditions and sign in with the required role.
2. Navigate to Trials, subscriptions and invoices.
3. Execute: Webhook arrives out of order.
4. Refresh or reopen the relevant page and inspect persisted data.
5. Verify UI feedback, permissions, notifications and audit records where applicable.</t>
        </is>
      </c>
      <c r="K283" s="14" t="inlineStr">
        <is>
          <t xml:space="preserve">Trials, cards, failed payments, multiple locations and mixed T&amp;A</t>
        </is>
      </c>
      <c r="L283" s="14" t="inlineStr">
        <is>
          <t xml:space="preserve">Subscription state resolves using authoritative event/version logic.</t>
        </is>
      </c>
      <c r="M283" s="14" t="inlineStr">
        <is>
          <t xml:space="preserve">Candidate</t>
        </is>
      </c>
      <c r="N283" s="14" t="inlineStr">
        <is>
          <t xml:space="preserve">Yes</t>
        </is>
      </c>
      <c r="O283" s="14" t="inlineStr">
        <is>
          <t xml:space="preserve">Active</t>
        </is>
      </c>
      <c r="P283" s="14"/>
    </row>
    <row r="284">
      <c r="A284" s="14" t="inlineStr">
        <is>
          <t xml:space="preserve">RR-0304</t>
        </is>
      </c>
      <c r="B284" s="14" t="inlineStr">
        <is>
          <t xml:space="preserve">Billing &amp; Stripe</t>
        </is>
      </c>
      <c r="C284" s="14" t="inlineStr">
        <is>
          <t xml:space="preserve">Trials, subscriptions and invoices</t>
        </is>
      </c>
      <c r="D284" s="14" t="inlineStr">
        <is>
          <t xml:space="preserve">Security</t>
        </is>
      </c>
      <c r="E284" s="14" t="inlineStr">
        <is>
          <t xml:space="preserve">Webhook signature is invalid</t>
        </is>
      </c>
      <c r="F284" s="14" t="inlineStr">
        <is>
          <t xml:space="preserve">Critical</t>
        </is>
      </c>
      <c r="G284" s="14" t="inlineStr">
        <is>
          <t xml:space="preserve">Medium</t>
        </is>
      </c>
      <c r="H284" s="14" t="inlineStr">
        <is>
          <t xml:space="preserve">Beta</t>
        </is>
      </c>
      <c r="I284" s="14" t="inlineStr">
        <is>
          <t xml:space="preserve">Stripe test mode; organisation with configurable locations, employees and add-ons.</t>
        </is>
      </c>
      <c r="J284" s="14" t="inlineStr">
        <is>
          <t xml:space="preserve">1. Prepare the stated preconditions and sign in with the required role.
2. Navigate to Trials, subscriptions and invoices.
3. Execute: Webhook signature is invalid.
4. Refresh or reopen the relevant page and inspect persisted data.
5. Verify UI feedback, permissions, notifications and audit records where applicable.</t>
        </is>
      </c>
      <c r="K284" s="14" t="inlineStr">
        <is>
          <t xml:space="preserve">Trials, cards, failed payments, multiple locations and mixed T&amp;A</t>
        </is>
      </c>
      <c r="L284" s="14" t="inlineStr">
        <is>
          <t xml:space="preserve">Request is rejected and logged.</t>
        </is>
      </c>
      <c r="M284" s="14" t="inlineStr">
        <is>
          <t xml:space="preserve">Candidate</t>
        </is>
      </c>
      <c r="N284" s="14" t="inlineStr">
        <is>
          <t xml:space="preserve">Yes</t>
        </is>
      </c>
      <c r="O284" s="14" t="inlineStr">
        <is>
          <t xml:space="preserve">Active</t>
        </is>
      </c>
      <c r="P284" s="14"/>
    </row>
    <row r="285">
      <c r="A285" s="14" t="inlineStr">
        <is>
          <t xml:space="preserve">RR-0305</t>
        </is>
      </c>
      <c r="B285" s="14" t="inlineStr">
        <is>
          <t xml:space="preserve">Billing &amp; Stripe</t>
        </is>
      </c>
      <c r="C285" s="14" t="inlineStr">
        <is>
          <t xml:space="preserve">Employee-based billing</t>
        </is>
      </c>
      <c r="D285" s="14" t="inlineStr">
        <is>
          <t xml:space="preserve">Functional</t>
        </is>
      </c>
      <c r="E285" s="14" t="inlineStr">
        <is>
          <t xml:space="preserve">Location has 10 billable employees</t>
        </is>
      </c>
      <c r="F285" s="14" t="inlineStr">
        <is>
          <t xml:space="preserve">Critical</t>
        </is>
      </c>
      <c r="G285" s="14" t="inlineStr">
        <is>
          <t xml:space="preserve">Medium</t>
        </is>
      </c>
      <c r="H285" s="14" t="inlineStr">
        <is>
          <t xml:space="preserve">Beta</t>
        </is>
      </c>
      <c r="I285" s="14" t="inlineStr">
        <is>
          <t xml:space="preserve">Stripe test mode; organisation with configurable locations, employees and add-ons.</t>
        </is>
      </c>
      <c r="J285" s="14" t="inlineStr">
        <is>
          <t xml:space="preserve">1. Prepare the stated preconditions and sign in with the required role.
2. Navigate to Employee-based billing.
3. Execute: Location has 10 billable employees.
4. Refresh or reopen the relevant page and inspect persisted data.
5. Verify UI feedback, permissions, notifications and audit records where applicable.</t>
        </is>
      </c>
      <c r="K285" s="14" t="inlineStr">
        <is>
          <t xml:space="preserve">Trials, cards, failed payments, multiple locations and mixed T&amp;A</t>
        </is>
      </c>
      <c r="L285" s="14" t="inlineStr">
        <is>
          <t xml:space="preserve">Base price includes all 10 with no excess employee charge.</t>
        </is>
      </c>
      <c r="M285" s="14" t="inlineStr">
        <is>
          <t xml:space="preserve">Candidate</t>
        </is>
      </c>
      <c r="N285" s="14" t="inlineStr">
        <is>
          <t xml:space="preserve">Yes</t>
        </is>
      </c>
      <c r="O285" s="14" t="inlineStr">
        <is>
          <t xml:space="preserve">Active</t>
        </is>
      </c>
      <c r="P285" s="14"/>
    </row>
    <row r="286">
      <c r="A286" s="14" t="inlineStr">
        <is>
          <t xml:space="preserve">RR-0306</t>
        </is>
      </c>
      <c r="B286" s="14" t="inlineStr">
        <is>
          <t xml:space="preserve">Billing &amp; Stripe</t>
        </is>
      </c>
      <c r="C286" s="14" t="inlineStr">
        <is>
          <t xml:space="preserve">Employee-based billing</t>
        </is>
      </c>
      <c r="D286" s="14" t="inlineStr">
        <is>
          <t xml:space="preserve">Functional</t>
        </is>
      </c>
      <c r="E286" s="14" t="inlineStr">
        <is>
          <t xml:space="preserve">Location has 11 billable employees</t>
        </is>
      </c>
      <c r="F286" s="14" t="inlineStr">
        <is>
          <t xml:space="preserve">Critical</t>
        </is>
      </c>
      <c r="G286" s="14" t="inlineStr">
        <is>
          <t xml:space="preserve">Medium</t>
        </is>
      </c>
      <c r="H286" s="14" t="inlineStr">
        <is>
          <t xml:space="preserve">Beta</t>
        </is>
      </c>
      <c r="I286" s="14" t="inlineStr">
        <is>
          <t xml:space="preserve">Stripe test mode; organisation with configurable locations, employees and add-ons.</t>
        </is>
      </c>
      <c r="J286" s="14" t="inlineStr">
        <is>
          <t xml:space="preserve">1. Prepare the stated preconditions and sign in with the required role.
2. Navigate to Employee-based billing.
3. Execute: Location has 11 billable employees.
4. Refresh or reopen the relevant page and inspect persisted data.
5. Verify UI feedback, permissions, notifications and audit records where applicable.</t>
        </is>
      </c>
      <c r="K286" s="14" t="inlineStr">
        <is>
          <t xml:space="preserve">Trials, cards, failed payments, multiple locations and mixed T&amp;A</t>
        </is>
      </c>
      <c r="L286" s="14" t="inlineStr">
        <is>
          <t xml:space="preserve">Exactly one excess employee charge is added.</t>
        </is>
      </c>
      <c r="M286" s="14" t="inlineStr">
        <is>
          <t xml:space="preserve">Candidate</t>
        </is>
      </c>
      <c r="N286" s="14" t="inlineStr">
        <is>
          <t xml:space="preserve">Yes</t>
        </is>
      </c>
      <c r="O286" s="14" t="inlineStr">
        <is>
          <t xml:space="preserve">Active</t>
        </is>
      </c>
      <c r="P286" s="14"/>
    </row>
    <row r="287">
      <c r="A287" s="14" t="inlineStr">
        <is>
          <t xml:space="preserve">RR-0307</t>
        </is>
      </c>
      <c r="B287" s="14" t="inlineStr">
        <is>
          <t xml:space="preserve">Billing &amp; Stripe</t>
        </is>
      </c>
      <c r="C287" s="14" t="inlineStr">
        <is>
          <t xml:space="preserve">Employee-based billing</t>
        </is>
      </c>
      <c r="D287" s="14" t="inlineStr">
        <is>
          <t xml:space="preserve">Functional</t>
        </is>
      </c>
      <c r="E287" s="14" t="inlineStr">
        <is>
          <t xml:space="preserve">Employee is active but never assigned a shift before billing date</t>
        </is>
      </c>
      <c r="F287" s="14" t="inlineStr">
        <is>
          <t xml:space="preserve">Critical</t>
        </is>
      </c>
      <c r="G287" s="14" t="inlineStr">
        <is>
          <t xml:space="preserve">Medium</t>
        </is>
      </c>
      <c r="H287" s="14" t="inlineStr">
        <is>
          <t xml:space="preserve">Beta</t>
        </is>
      </c>
      <c r="I287" s="14" t="inlineStr">
        <is>
          <t xml:space="preserve">Stripe test mode; organisation with configurable locations, employees and add-ons.</t>
        </is>
      </c>
      <c r="J287" s="14" t="inlineStr">
        <is>
          <t xml:space="preserve">1. Prepare the stated preconditions and sign in with the required role.
2. Navigate to Employee-based billing.
3. Execute: Employee is active but never assigned a shift before billing date.
4. Refresh or reopen the relevant page and inspect persisted data.
5. Verify UI feedback, permissions, notifications and audit records where applicable.</t>
        </is>
      </c>
      <c r="K287" s="14" t="inlineStr">
        <is>
          <t xml:space="preserve">Trials, cards, failed payments, multiple locations and mixed T&amp;A</t>
        </is>
      </c>
      <c r="L287" s="14" t="inlineStr">
        <is>
          <t xml:space="preserve">Employee is excluded when shift-based billing policy is enabled.</t>
        </is>
      </c>
      <c r="M287" s="14" t="inlineStr">
        <is>
          <t xml:space="preserve">Candidate</t>
        </is>
      </c>
      <c r="N287" s="14" t="inlineStr">
        <is>
          <t xml:space="preserve">Yes</t>
        </is>
      </c>
      <c r="O287" s="14" t="inlineStr">
        <is>
          <t xml:space="preserve">Active</t>
        </is>
      </c>
      <c r="P287" s="14"/>
    </row>
    <row r="288">
      <c r="A288" s="14" t="inlineStr">
        <is>
          <t xml:space="preserve">RR-0308</t>
        </is>
      </c>
      <c r="B288" s="14" t="inlineStr">
        <is>
          <t xml:space="preserve">Billing &amp; Stripe</t>
        </is>
      </c>
      <c r="C288" s="14" t="inlineStr">
        <is>
          <t xml:space="preserve">Employee-based billing</t>
        </is>
      </c>
      <c r="D288" s="14" t="inlineStr">
        <is>
          <t xml:space="preserve">Functional</t>
        </is>
      </c>
      <c r="E288" s="14" t="inlineStr">
        <is>
          <t xml:space="preserve">Employee receives a shift before billing date</t>
        </is>
      </c>
      <c r="F288" s="14" t="inlineStr">
        <is>
          <t xml:space="preserve">Critical</t>
        </is>
      </c>
      <c r="G288" s="14" t="inlineStr">
        <is>
          <t xml:space="preserve">Medium</t>
        </is>
      </c>
      <c r="H288" s="14" t="inlineStr">
        <is>
          <t xml:space="preserve">Beta</t>
        </is>
      </c>
      <c r="I288" s="14" t="inlineStr">
        <is>
          <t xml:space="preserve">Stripe test mode; organisation with configurable locations, employees and add-ons.</t>
        </is>
      </c>
      <c r="J288" s="14" t="inlineStr">
        <is>
          <t xml:space="preserve">1. Prepare the stated preconditions and sign in with the required role.
2. Navigate to Employee-based billing.
3. Execute: Employee receives a shift before billing date.
4. Refresh or reopen the relevant page and inspect persisted data.
5. Verify UI feedback, permissions, notifications and audit records where applicable.</t>
        </is>
      </c>
      <c r="K288" s="14" t="inlineStr">
        <is>
          <t xml:space="preserve">Trials, cards, failed payments, multiple locations and mixed T&amp;A</t>
        </is>
      </c>
      <c r="L288" s="14" t="inlineStr">
        <is>
          <t xml:space="preserve">Employee becomes billable for the applicable cycle.</t>
        </is>
      </c>
      <c r="M288" s="14" t="inlineStr">
        <is>
          <t xml:space="preserve">Candidate</t>
        </is>
      </c>
      <c r="N288" s="14" t="inlineStr">
        <is>
          <t xml:space="preserve">Yes</t>
        </is>
      </c>
      <c r="O288" s="14" t="inlineStr">
        <is>
          <t xml:space="preserve">Active</t>
        </is>
      </c>
      <c r="P288" s="14"/>
    </row>
    <row r="289">
      <c r="A289" s="14" t="inlineStr">
        <is>
          <t xml:space="preserve">RR-0309</t>
        </is>
      </c>
      <c r="B289" s="14" t="inlineStr">
        <is>
          <t xml:space="preserve">Billing &amp; Stripe</t>
        </is>
      </c>
      <c r="C289" s="14" t="inlineStr">
        <is>
          <t xml:space="preserve">Employee-based billing</t>
        </is>
      </c>
      <c r="D289" s="14" t="inlineStr">
        <is>
          <t xml:space="preserve">Functional</t>
        </is>
      </c>
      <c r="E289" s="14" t="inlineStr">
        <is>
          <t xml:space="preserve">Employee is deactivated after working since last billing date</t>
        </is>
      </c>
      <c r="F289" s="14" t="inlineStr">
        <is>
          <t xml:space="preserve">Critical</t>
        </is>
      </c>
      <c r="G289" s="14" t="inlineStr">
        <is>
          <t xml:space="preserve">Medium</t>
        </is>
      </c>
      <c r="H289" s="14" t="inlineStr">
        <is>
          <t xml:space="preserve">Beta</t>
        </is>
      </c>
      <c r="I289" s="14" t="inlineStr">
        <is>
          <t xml:space="preserve">Stripe test mode; organisation with configurable locations, employees and add-ons.</t>
        </is>
      </c>
      <c r="J289" s="14" t="inlineStr">
        <is>
          <t xml:space="preserve">1. Prepare the stated preconditions and sign in with the required role.
2. Navigate to Employee-based billing.
3. Execute: Employee is deactivated after working since last billing date.
4. Refresh or reopen the relevant page and inspect persisted data.
5. Verify UI feedback, permissions, notifications and audit records where applicable.</t>
        </is>
      </c>
      <c r="K289" s="14" t="inlineStr">
        <is>
          <t xml:space="preserve">Trials, cards, failed payments, multiple locations and mixed T&amp;A</t>
        </is>
      </c>
      <c r="L289" s="14" t="inlineStr">
        <is>
          <t xml:space="preserve">Billing follows documented leaver rule and does not remove owed usage incorrectly.</t>
        </is>
      </c>
      <c r="M289" s="14" t="inlineStr">
        <is>
          <t xml:space="preserve">Candidate</t>
        </is>
      </c>
      <c r="N289" s="14" t="inlineStr">
        <is>
          <t xml:space="preserve">Yes</t>
        </is>
      </c>
      <c r="O289" s="14" t="inlineStr">
        <is>
          <t xml:space="preserve">Active</t>
        </is>
      </c>
      <c r="P289" s="14"/>
    </row>
    <row r="290">
      <c r="A290" s="14" t="inlineStr">
        <is>
          <t xml:space="preserve">RR-0310</t>
        </is>
      </c>
      <c r="B290" s="14" t="inlineStr">
        <is>
          <t xml:space="preserve">Billing &amp; Stripe</t>
        </is>
      </c>
      <c r="C290" s="14" t="inlineStr">
        <is>
          <t xml:space="preserve">Employee-based billing</t>
        </is>
      </c>
      <c r="D290" s="14" t="inlineStr">
        <is>
          <t xml:space="preserve">Functional</t>
        </is>
      </c>
      <c r="E290" s="14" t="inlineStr">
        <is>
          <t xml:space="preserve">Employee is deactivated everywhere with no shifts since last billing date</t>
        </is>
      </c>
      <c r="F290" s="14" t="inlineStr">
        <is>
          <t xml:space="preserve">Critical</t>
        </is>
      </c>
      <c r="G290" s="14" t="inlineStr">
        <is>
          <t xml:space="preserve">Medium</t>
        </is>
      </c>
      <c r="H290" s="14" t="inlineStr">
        <is>
          <t xml:space="preserve">Beta</t>
        </is>
      </c>
      <c r="I290" s="14" t="inlineStr">
        <is>
          <t xml:space="preserve">Stripe test mode; organisation with configurable locations, employees and add-ons.</t>
        </is>
      </c>
      <c r="J290" s="14" t="inlineStr">
        <is>
          <t xml:space="preserve">1. Prepare the stated preconditions and sign in with the required role.
2. Navigate to Employee-based billing.
3. Execute: Employee is deactivated everywhere with no shifts since last billing date.
4. Refresh or reopen the relevant page and inspect persisted data.
5. Verify UI feedback, permissions, notifications and audit records where applicable.</t>
        </is>
      </c>
      <c r="K290" s="14" t="inlineStr">
        <is>
          <t xml:space="preserve">Trials, cards, failed payments, multiple locations and mixed T&amp;A</t>
        </is>
      </c>
      <c r="L290" s="14" t="inlineStr">
        <is>
          <t xml:space="preserve">Employee is excluded from the next billable count.</t>
        </is>
      </c>
      <c r="M290" s="14" t="inlineStr">
        <is>
          <t xml:space="preserve">Candidate</t>
        </is>
      </c>
      <c r="N290" s="14" t="inlineStr">
        <is>
          <t xml:space="preserve">Yes</t>
        </is>
      </c>
      <c r="O290" s="14" t="inlineStr">
        <is>
          <t xml:space="preserve">Active</t>
        </is>
      </c>
      <c r="P290" s="14"/>
    </row>
    <row r="291">
      <c r="A291" s="14" t="inlineStr">
        <is>
          <t xml:space="preserve">RR-0311</t>
        </is>
      </c>
      <c r="B291" s="14" t="inlineStr">
        <is>
          <t xml:space="preserve">Billing &amp; Stripe</t>
        </is>
      </c>
      <c r="C291" s="14" t="inlineStr">
        <is>
          <t xml:space="preserve">Employee-based billing</t>
        </is>
      </c>
      <c r="D291" s="14" t="inlineStr">
        <is>
          <t xml:space="preserve">Functional</t>
        </is>
      </c>
      <c r="E291" s="14" t="inlineStr">
        <is>
          <t xml:space="preserve">Employee works at two locations</t>
        </is>
      </c>
      <c r="F291" s="14" t="inlineStr">
        <is>
          <t xml:space="preserve">Critical</t>
        </is>
      </c>
      <c r="G291" s="14" t="inlineStr">
        <is>
          <t xml:space="preserve">Medium</t>
        </is>
      </c>
      <c r="H291" s="14" t="inlineStr">
        <is>
          <t xml:space="preserve">Beta</t>
        </is>
      </c>
      <c r="I291" s="14" t="inlineStr">
        <is>
          <t xml:space="preserve">Stripe test mode; organisation with configurable locations, employees and add-ons.</t>
        </is>
      </c>
      <c r="J291" s="14" t="inlineStr">
        <is>
          <t xml:space="preserve">1. Prepare the stated preconditions and sign in with the required role.
2. Navigate to Employee-based billing.
3. Execute: Employee works at two locations.
4. Refresh or reopen the relevant page and inspect persisted data.
5. Verify UI feedback, permissions, notifications and audit records where applicable.</t>
        </is>
      </c>
      <c r="K291" s="14" t="inlineStr">
        <is>
          <t xml:space="preserve">Trials, cards, failed payments, multiple locations and mixed T&amp;A</t>
        </is>
      </c>
      <c r="L291" s="14" t="inlineStr">
        <is>
          <t xml:space="preserve">Billing attribution follows the agreed per-location rule without double charging unintentionally.</t>
        </is>
      </c>
      <c r="M291" s="14" t="inlineStr">
        <is>
          <t xml:space="preserve">Candidate</t>
        </is>
      </c>
      <c r="N291" s="14" t="inlineStr">
        <is>
          <t xml:space="preserve">Yes</t>
        </is>
      </c>
      <c r="O291" s="14" t="inlineStr">
        <is>
          <t xml:space="preserve">Active</t>
        </is>
      </c>
      <c r="P291" s="14"/>
    </row>
    <row r="292">
      <c r="A292" s="14" t="inlineStr">
        <is>
          <t xml:space="preserve">RR-0312</t>
        </is>
      </c>
      <c r="B292" s="14" t="inlineStr">
        <is>
          <t xml:space="preserve">Billing &amp; Stripe</t>
        </is>
      </c>
      <c r="C292" s="14" t="inlineStr">
        <is>
          <t xml:space="preserve">Employee-based billing</t>
        </is>
      </c>
      <c r="D292" s="14" t="inlineStr">
        <is>
          <t xml:space="preserve">Functional</t>
        </is>
      </c>
      <c r="E292" s="14" t="inlineStr">
        <is>
          <t xml:space="preserve">Cross-location shift is assigned</t>
        </is>
      </c>
      <c r="F292" s="14" t="inlineStr">
        <is>
          <t xml:space="preserve">Critical</t>
        </is>
      </c>
      <c r="G292" s="14" t="inlineStr">
        <is>
          <t xml:space="preserve">Medium</t>
        </is>
      </c>
      <c r="H292" s="14" t="inlineStr">
        <is>
          <t xml:space="preserve">Beta</t>
        </is>
      </c>
      <c r="I292" s="14" t="inlineStr">
        <is>
          <t xml:space="preserve">Stripe test mode; organisation with configurable locations, employees and add-ons.</t>
        </is>
      </c>
      <c r="J292" s="14" t="inlineStr">
        <is>
          <t xml:space="preserve">1. Prepare the stated preconditions and sign in with the required role.
2. Navigate to Employee-based billing.
3. Execute: Cross-location shift is assigned.
4. Refresh or reopen the relevant page and inspect persisted data.
5. Verify UI feedback, permissions, notifications and audit records where applicable.</t>
        </is>
      </c>
      <c r="K292" s="14" t="inlineStr">
        <is>
          <t xml:space="preserve">Trials, cards, failed payments, multiple locations and mixed T&amp;A</t>
        </is>
      </c>
      <c r="L292" s="14" t="inlineStr">
        <is>
          <t xml:space="preserve">The employee is counted at the location responsible under billing policy.</t>
        </is>
      </c>
      <c r="M292" s="14" t="inlineStr">
        <is>
          <t xml:space="preserve">Candidate</t>
        </is>
      </c>
      <c r="N292" s="14" t="inlineStr">
        <is>
          <t xml:space="preserve">Yes</t>
        </is>
      </c>
      <c r="O292" s="14" t="inlineStr">
        <is>
          <t xml:space="preserve">Active</t>
        </is>
      </c>
      <c r="P292" s="14"/>
    </row>
    <row r="293">
      <c r="A293" s="14" t="inlineStr">
        <is>
          <t xml:space="preserve">RR-0313</t>
        </is>
      </c>
      <c r="B293" s="14" t="inlineStr">
        <is>
          <t xml:space="preserve">Billing &amp; Stripe</t>
        </is>
      </c>
      <c r="C293" s="14" t="inlineStr">
        <is>
          <t xml:space="preserve">Employee-based billing</t>
        </is>
      </c>
      <c r="D293" s="14" t="inlineStr">
        <is>
          <t xml:space="preserve">Functional</t>
        </is>
      </c>
      <c r="E293" s="14" t="inlineStr">
        <is>
          <t xml:space="preserve">Employee is added and removed before receiving any shift</t>
        </is>
      </c>
      <c r="F293" s="14" t="inlineStr">
        <is>
          <t xml:space="preserve">High</t>
        </is>
      </c>
      <c r="G293" s="14" t="inlineStr">
        <is>
          <t xml:space="preserve">Medium</t>
        </is>
      </c>
      <c r="H293" s="14" t="inlineStr">
        <is>
          <t xml:space="preserve">Beta</t>
        </is>
      </c>
      <c r="I293" s="14" t="inlineStr">
        <is>
          <t xml:space="preserve">Stripe test mode; organisation with configurable locations, employees and add-ons.</t>
        </is>
      </c>
      <c r="J293" s="14" t="inlineStr">
        <is>
          <t xml:space="preserve">1. Prepare the stated preconditions and sign in with the required role.
2. Navigate to Employee-based billing.
3. Execute: Employee is added and removed before receiving any shift.
4. Refresh or reopen the relevant page and inspect persisted data.
5. Verify UI feedback, permissions, notifications and audit records where applicable.</t>
        </is>
      </c>
      <c r="K293" s="14" t="inlineStr">
        <is>
          <t xml:space="preserve">Trials, cards, failed payments, multiple locations and mixed T&amp;A</t>
        </is>
      </c>
      <c r="L293" s="14" t="inlineStr">
        <is>
          <t xml:space="preserve">No employee charge is generated.</t>
        </is>
      </c>
      <c r="M293" s="14" t="inlineStr">
        <is>
          <t xml:space="preserve">Candidate</t>
        </is>
      </c>
      <c r="N293" s="14" t="inlineStr">
        <is>
          <t xml:space="preserve">Yes</t>
        </is>
      </c>
      <c r="O293" s="14" t="inlineStr">
        <is>
          <t xml:space="preserve">Active</t>
        </is>
      </c>
      <c r="P293" s="14"/>
    </row>
    <row r="294">
      <c r="A294" s="14" t="inlineStr">
        <is>
          <t xml:space="preserve">RR-0314</t>
        </is>
      </c>
      <c r="B294" s="14" t="inlineStr">
        <is>
          <t xml:space="preserve">Billing &amp; Stripe</t>
        </is>
      </c>
      <c r="C294" s="14" t="inlineStr">
        <is>
          <t xml:space="preserve">Employee-based billing</t>
        </is>
      </c>
      <c r="D294" s="14" t="inlineStr">
        <is>
          <t xml:space="preserve">Boundary</t>
        </is>
      </c>
      <c r="E294" s="14" t="inlineStr">
        <is>
          <t xml:space="preserve">Billable employee count changes near invoice cutoff</t>
        </is>
      </c>
      <c r="F294" s="14" t="inlineStr">
        <is>
          <t xml:space="preserve">Critical</t>
        </is>
      </c>
      <c r="G294" s="14" t="inlineStr">
        <is>
          <t xml:space="preserve">Medium</t>
        </is>
      </c>
      <c r="H294" s="14" t="inlineStr">
        <is>
          <t xml:space="preserve">Beta</t>
        </is>
      </c>
      <c r="I294" s="14" t="inlineStr">
        <is>
          <t xml:space="preserve">Stripe test mode; organisation with configurable locations, employees and add-ons.</t>
        </is>
      </c>
      <c r="J294" s="14" t="inlineStr">
        <is>
          <t xml:space="preserve">1. Prepare the stated preconditions and sign in with the required role.
2. Navigate to Employee-based billing.
3. Execute: Billable employee count changes near invoice cutoff.
4. Refresh or reopen the relevant page and inspect persisted data.
5. Verify UI feedback, permissions, notifications and audit records where applicable.</t>
        </is>
      </c>
      <c r="K294" s="14" t="inlineStr">
        <is>
          <t xml:space="preserve">Trials, cards, failed payments, multiple locations and mixed T&amp;A</t>
        </is>
      </c>
      <c r="L294" s="14" t="inlineStr">
        <is>
          <t xml:space="preserve">A deterministic timestamp/cutoff policy is applied and visible in billing detail.</t>
        </is>
      </c>
      <c r="M294" s="14" t="inlineStr">
        <is>
          <t xml:space="preserve">Candidate</t>
        </is>
      </c>
      <c r="N294" s="14" t="inlineStr">
        <is>
          <t xml:space="preserve">Yes</t>
        </is>
      </c>
      <c r="O294" s="14" t="inlineStr">
        <is>
          <t xml:space="preserve">Active</t>
        </is>
      </c>
      <c r="P294" s="14"/>
    </row>
    <row r="295">
      <c r="A295" s="14" t="inlineStr">
        <is>
          <t xml:space="preserve">RR-0315</t>
        </is>
      </c>
      <c r="B295" s="14" t="inlineStr">
        <is>
          <t xml:space="preserve">Billing &amp; Stripe</t>
        </is>
      </c>
      <c r="C295" s="14" t="inlineStr">
        <is>
          <t xml:space="preserve">T&amp;A add-on and payment recovery</t>
        </is>
      </c>
      <c r="D295" s="14" t="inlineStr">
        <is>
          <t xml:space="preserve">Functional</t>
        </is>
      </c>
      <c r="E295" s="14" t="inlineStr">
        <is>
          <t xml:space="preserve">Enable T&amp;A for one of several locations</t>
        </is>
      </c>
      <c r="F295" s="14" t="inlineStr">
        <is>
          <t xml:space="preserve">Critical</t>
        </is>
      </c>
      <c r="G295" s="14" t="inlineStr">
        <is>
          <t xml:space="preserve">Medium</t>
        </is>
      </c>
      <c r="H295" s="14" t="inlineStr">
        <is>
          <t xml:space="preserve">Beta</t>
        </is>
      </c>
      <c r="I295" s="14" t="inlineStr">
        <is>
          <t xml:space="preserve">Stripe test mode; organisation with configurable locations, employees and add-ons.</t>
        </is>
      </c>
      <c r="J295" s="14" t="inlineStr">
        <is>
          <t xml:space="preserve">1. Prepare the stated preconditions and sign in with the required role.
2. Navigate to T&amp;A add-on and payment recovery.
3. Execute: Enable T&amp;A for one of several locations.
4. Refresh or reopen the relevant page and inspect persisted data.
5. Verify UI feedback, permissions, notifications and audit records where applicable.</t>
        </is>
      </c>
      <c r="K295" s="14" t="inlineStr">
        <is>
          <t xml:space="preserve">Trials, cards, failed payments, multiple locations and mixed T&amp;A</t>
        </is>
      </c>
      <c r="L295" s="14" t="inlineStr">
        <is>
          <t xml:space="preserve">Only that location receives the add-on charge and T&amp;A access.</t>
        </is>
      </c>
      <c r="M295" s="14" t="inlineStr">
        <is>
          <t xml:space="preserve">Candidate</t>
        </is>
      </c>
      <c r="N295" s="14" t="inlineStr">
        <is>
          <t xml:space="preserve">Yes</t>
        </is>
      </c>
      <c r="O295" s="14" t="inlineStr">
        <is>
          <t xml:space="preserve">Active</t>
        </is>
      </c>
      <c r="P295" s="14"/>
    </row>
    <row r="296">
      <c r="A296" s="14" t="inlineStr">
        <is>
          <t xml:space="preserve">RR-0316</t>
        </is>
      </c>
      <c r="B296" s="14" t="inlineStr">
        <is>
          <t xml:space="preserve">Billing &amp; Stripe</t>
        </is>
      </c>
      <c r="C296" s="14" t="inlineStr">
        <is>
          <t xml:space="preserve">T&amp;A add-on and payment recovery</t>
        </is>
      </c>
      <c r="D296" s="14" t="inlineStr">
        <is>
          <t xml:space="preserve">Functional</t>
        </is>
      </c>
      <c r="E296" s="14" t="inlineStr">
        <is>
          <t xml:space="preserve">Employee works in T&amp;A and non-T&amp;A locations</t>
        </is>
      </c>
      <c r="F296" s="14" t="inlineStr">
        <is>
          <t xml:space="preserve">Critical</t>
        </is>
      </c>
      <c r="G296" s="14" t="inlineStr">
        <is>
          <t xml:space="preserve">Medium</t>
        </is>
      </c>
      <c r="H296" s="14" t="inlineStr">
        <is>
          <t xml:space="preserve">Beta</t>
        </is>
      </c>
      <c r="I296" s="14" t="inlineStr">
        <is>
          <t xml:space="preserve">Stripe test mode; organisation with configurable locations, employees and add-ons.</t>
        </is>
      </c>
      <c r="J296" s="14" t="inlineStr">
        <is>
          <t xml:space="preserve">1. Prepare the stated preconditions and sign in with the required role.
2. Navigate to T&amp;A add-on and payment recovery.
3. Execute: Employee works in T&amp;A and non-T&amp;A locations.
4. Refresh or reopen the relevant page and inspect persisted data.
5. Verify UI feedback, permissions, notifications and audit records where applicable.</t>
        </is>
      </c>
      <c r="K296" s="14" t="inlineStr">
        <is>
          <t xml:space="preserve">Trials, cards, failed payments, multiple locations and mixed T&amp;A</t>
        </is>
      </c>
      <c r="L296" s="14" t="inlineStr">
        <is>
          <t xml:space="preserve">Add-on employee/cost treatment follows documented location policy.</t>
        </is>
      </c>
      <c r="M296" s="14" t="inlineStr">
        <is>
          <t xml:space="preserve">Candidate</t>
        </is>
      </c>
      <c r="N296" s="14" t="inlineStr">
        <is>
          <t xml:space="preserve">Yes</t>
        </is>
      </c>
      <c r="O296" s="14" t="inlineStr">
        <is>
          <t xml:space="preserve">Active</t>
        </is>
      </c>
      <c r="P296" s="14"/>
    </row>
    <row r="297">
      <c r="A297" s="14" t="inlineStr">
        <is>
          <t xml:space="preserve">RR-0317</t>
        </is>
      </c>
      <c r="B297" s="14" t="inlineStr">
        <is>
          <t xml:space="preserve">Billing &amp; Stripe</t>
        </is>
      </c>
      <c r="C297" s="14" t="inlineStr">
        <is>
          <t xml:space="preserve">T&amp;A add-on and payment recovery</t>
        </is>
      </c>
      <c r="D297" s="14" t="inlineStr">
        <is>
          <t xml:space="preserve">Functional</t>
        </is>
      </c>
      <c r="E297" s="14" t="inlineStr">
        <is>
          <t xml:space="preserve">Activate station mid-cycle</t>
        </is>
      </c>
      <c r="F297" s="14" t="inlineStr">
        <is>
          <t xml:space="preserve">Critical</t>
        </is>
      </c>
      <c r="G297" s="14" t="inlineStr">
        <is>
          <t xml:space="preserve">Medium</t>
        </is>
      </c>
      <c r="H297" s="14" t="inlineStr">
        <is>
          <t xml:space="preserve">Beta</t>
        </is>
      </c>
      <c r="I297" s="14" t="inlineStr">
        <is>
          <t xml:space="preserve">Stripe test mode; organisation with configurable locations, employees and add-ons.</t>
        </is>
      </c>
      <c r="J297" s="14" t="inlineStr">
        <is>
          <t xml:space="preserve">1. Prepare the stated preconditions and sign in with the required role.
2. Navigate to T&amp;A add-on and payment recovery.
3. Execute: Activate station mid-cycle.
4. Refresh or reopen the relevant page and inspect persisted data.
5. Verify UI feedback, permissions, notifications and audit records where applicable.</t>
        </is>
      </c>
      <c r="K297" s="14" t="inlineStr">
        <is>
          <t xml:space="preserve">Trials, cards, failed payments, multiple locations and mixed T&amp;A</t>
        </is>
      </c>
      <c r="L297" s="14" t="inlineStr">
        <is>
          <t xml:space="preserve">Proration or next-cycle charging matches the confirmation shown.</t>
        </is>
      </c>
      <c r="M297" s="14" t="inlineStr">
        <is>
          <t xml:space="preserve">Candidate</t>
        </is>
      </c>
      <c r="N297" s="14" t="inlineStr">
        <is>
          <t xml:space="preserve">Yes</t>
        </is>
      </c>
      <c r="O297" s="14" t="inlineStr">
        <is>
          <t xml:space="preserve">Active</t>
        </is>
      </c>
      <c r="P297" s="14"/>
    </row>
    <row r="298">
      <c r="A298" s="14" t="inlineStr">
        <is>
          <t xml:space="preserve">RR-0318</t>
        </is>
      </c>
      <c r="B298" s="14" t="inlineStr">
        <is>
          <t xml:space="preserve">Billing &amp; Stripe</t>
        </is>
      </c>
      <c r="C298" s="14" t="inlineStr">
        <is>
          <t xml:space="preserve">T&amp;A add-on and payment recovery</t>
        </is>
      </c>
      <c r="D298" s="14" t="inlineStr">
        <is>
          <t xml:space="preserve">Functional</t>
        </is>
      </c>
      <c r="E298" s="14" t="inlineStr">
        <is>
          <t xml:space="preserve">Cancel T&amp;A mid-cycle</t>
        </is>
      </c>
      <c r="F298" s="14" t="inlineStr">
        <is>
          <t xml:space="preserve">Critical</t>
        </is>
      </c>
      <c r="G298" s="14" t="inlineStr">
        <is>
          <t xml:space="preserve">Medium</t>
        </is>
      </c>
      <c r="H298" s="14" t="inlineStr">
        <is>
          <t xml:space="preserve">Beta</t>
        </is>
      </c>
      <c r="I298" s="14" t="inlineStr">
        <is>
          <t xml:space="preserve">Stripe test mode; organisation with configurable locations, employees and add-ons.</t>
        </is>
      </c>
      <c r="J298" s="14" t="inlineStr">
        <is>
          <t xml:space="preserve">1. Prepare the stated preconditions and sign in with the required role.
2. Navigate to T&amp;A add-on and payment recovery.
3. Execute: Cancel T&amp;A mid-cycle.
4. Refresh or reopen the relevant page and inspect persisted data.
5. Verify UI feedback, permissions, notifications and audit records where applicable.</t>
        </is>
      </c>
      <c r="K298" s="14" t="inlineStr">
        <is>
          <t xml:space="preserve">Trials, cards, failed payments, multiple locations and mixed T&amp;A</t>
        </is>
      </c>
      <c r="L298" s="14" t="inlineStr">
        <is>
          <t xml:space="preserve">Charge/access end timing matches policy and timesheets become read-only.</t>
        </is>
      </c>
      <c r="M298" s="14" t="inlineStr">
        <is>
          <t xml:space="preserve">Candidate</t>
        </is>
      </c>
      <c r="N298" s="14" t="inlineStr">
        <is>
          <t xml:space="preserve">Yes</t>
        </is>
      </c>
      <c r="O298" s="14" t="inlineStr">
        <is>
          <t xml:space="preserve">Active</t>
        </is>
      </c>
      <c r="P298" s="14"/>
    </row>
    <row r="299">
      <c r="A299" s="14" t="inlineStr">
        <is>
          <t xml:space="preserve">RR-0319</t>
        </is>
      </c>
      <c r="B299" s="14" t="inlineStr">
        <is>
          <t xml:space="preserve">Billing &amp; Stripe</t>
        </is>
      </c>
      <c r="C299" s="14" t="inlineStr">
        <is>
          <t xml:space="preserve">T&amp;A add-on and payment recovery</t>
        </is>
      </c>
      <c r="D299" s="14" t="inlineStr">
        <is>
          <t xml:space="preserve">Integration</t>
        </is>
      </c>
      <c r="E299" s="14" t="inlineStr">
        <is>
          <t xml:space="preserve">Payment succeeds</t>
        </is>
      </c>
      <c r="F299" s="14" t="inlineStr">
        <is>
          <t xml:space="preserve">Critical</t>
        </is>
      </c>
      <c r="G299" s="14" t="inlineStr">
        <is>
          <t xml:space="preserve">Medium</t>
        </is>
      </c>
      <c r="H299" s="14" t="inlineStr">
        <is>
          <t xml:space="preserve">Beta</t>
        </is>
      </c>
      <c r="I299" s="14" t="inlineStr">
        <is>
          <t xml:space="preserve">Stripe test mode; organisation with configurable locations, employees and add-ons.</t>
        </is>
      </c>
      <c r="J299" s="14" t="inlineStr">
        <is>
          <t xml:space="preserve">1. Prepare the stated preconditions and sign in with the required role.
2. Navigate to T&amp;A add-on and payment recovery.
3. Execute: Payment succeeds.
4. Refresh or reopen the relevant page and inspect persisted data.
5. Verify UI feedback, permissions, notifications and audit records where applicable.</t>
        </is>
      </c>
      <c r="K299" s="14" t="inlineStr">
        <is>
          <t xml:space="preserve">Trials, cards, failed payments, multiple locations and mixed T&amp;A</t>
        </is>
      </c>
      <c r="L299" s="14" t="inlineStr">
        <is>
          <t xml:space="preserve">Invoice becomes paid and full access remains.</t>
        </is>
      </c>
      <c r="M299" s="14" t="inlineStr">
        <is>
          <t xml:space="preserve">Candidate</t>
        </is>
      </c>
      <c r="N299" s="14" t="inlineStr">
        <is>
          <t xml:space="preserve">Yes</t>
        </is>
      </c>
      <c r="O299" s="14" t="inlineStr">
        <is>
          <t xml:space="preserve">Active</t>
        </is>
      </c>
      <c r="P299" s="14"/>
    </row>
    <row r="300">
      <c r="A300" s="14" t="inlineStr">
        <is>
          <t xml:space="preserve">RR-0320</t>
        </is>
      </c>
      <c r="B300" s="14" t="inlineStr">
        <is>
          <t xml:space="preserve">Billing &amp; Stripe</t>
        </is>
      </c>
      <c r="C300" s="14" t="inlineStr">
        <is>
          <t xml:space="preserve">T&amp;A add-on and payment recovery</t>
        </is>
      </c>
      <c r="D300" s="14" t="inlineStr">
        <is>
          <t xml:space="preserve">Integration</t>
        </is>
      </c>
      <c r="E300" s="14" t="inlineStr">
        <is>
          <t xml:space="preserve">Initial payment fails</t>
        </is>
      </c>
      <c r="F300" s="14" t="inlineStr">
        <is>
          <t xml:space="preserve">Critical</t>
        </is>
      </c>
      <c r="G300" s="14" t="inlineStr">
        <is>
          <t xml:space="preserve">Medium</t>
        </is>
      </c>
      <c r="H300" s="14" t="inlineStr">
        <is>
          <t xml:space="preserve">Beta</t>
        </is>
      </c>
      <c r="I300" s="14" t="inlineStr">
        <is>
          <t xml:space="preserve">Stripe test mode; organisation with configurable locations, employees and add-ons.</t>
        </is>
      </c>
      <c r="J300" s="14" t="inlineStr">
        <is>
          <t xml:space="preserve">1. Prepare the stated preconditions and sign in with the required role.
2. Navigate to T&amp;A add-on and payment recovery.
3. Execute: Initial payment fails.
4. Refresh or reopen the relevant page and inspect persisted data.
5. Verify UI feedback, permissions, notifications and audit records where applicable.</t>
        </is>
      </c>
      <c r="K300" s="14" t="inlineStr">
        <is>
          <t xml:space="preserve">Trials, cards, failed payments, multiple locations and mixed T&amp;A</t>
        </is>
      </c>
      <c r="L300" s="14" t="inlineStr">
        <is>
          <t xml:space="preserve">Customer is notified and recovery/grace state begins without immediate data loss.</t>
        </is>
      </c>
      <c r="M300" s="14" t="inlineStr">
        <is>
          <t xml:space="preserve">Candidate</t>
        </is>
      </c>
      <c r="N300" s="14" t="inlineStr">
        <is>
          <t xml:space="preserve">Yes</t>
        </is>
      </c>
      <c r="O300" s="14" t="inlineStr">
        <is>
          <t xml:space="preserve">Active</t>
        </is>
      </c>
      <c r="P300" s="14"/>
    </row>
    <row r="301">
      <c r="A301" s="14" t="inlineStr">
        <is>
          <t xml:space="preserve">RR-0321</t>
        </is>
      </c>
      <c r="B301" s="14" t="inlineStr">
        <is>
          <t xml:space="preserve">Billing &amp; Stripe</t>
        </is>
      </c>
      <c r="C301" s="14" t="inlineStr">
        <is>
          <t xml:space="preserve">T&amp;A add-on and payment recovery</t>
        </is>
      </c>
      <c r="D301" s="14" t="inlineStr">
        <is>
          <t xml:space="preserve">Functional</t>
        </is>
      </c>
      <c r="E301" s="14" t="inlineStr">
        <is>
          <t xml:space="preserve">Retry payment succeeds during grace period</t>
        </is>
      </c>
      <c r="F301" s="14" t="inlineStr">
        <is>
          <t xml:space="preserve">Critical</t>
        </is>
      </c>
      <c r="G301" s="14" t="inlineStr">
        <is>
          <t xml:space="preserve">Medium</t>
        </is>
      </c>
      <c r="H301" s="14" t="inlineStr">
        <is>
          <t xml:space="preserve">Beta</t>
        </is>
      </c>
      <c r="I301" s="14" t="inlineStr">
        <is>
          <t xml:space="preserve">Stripe test mode; organisation with configurable locations, employees and add-ons.</t>
        </is>
      </c>
      <c r="J301" s="14" t="inlineStr">
        <is>
          <t xml:space="preserve">1. Prepare the stated preconditions and sign in with the required role.
2. Navigate to T&amp;A add-on and payment recovery.
3. Execute: Retry payment succeeds during grace period.
4. Refresh or reopen the relevant page and inspect persisted data.
5. Verify UI feedback, permissions, notifications and audit records where applicable.</t>
        </is>
      </c>
      <c r="K301" s="14" t="inlineStr">
        <is>
          <t xml:space="preserve">Trials, cards, failed payments, multiple locations and mixed T&amp;A</t>
        </is>
      </c>
      <c r="L301" s="14" t="inlineStr">
        <is>
          <t xml:space="preserve">Account returns to good standing and notifications stop.</t>
        </is>
      </c>
      <c r="M301" s="14" t="inlineStr">
        <is>
          <t xml:space="preserve">Candidate</t>
        </is>
      </c>
      <c r="N301" s="14" t="inlineStr">
        <is>
          <t xml:space="preserve">Yes</t>
        </is>
      </c>
      <c r="O301" s="14" t="inlineStr">
        <is>
          <t xml:space="preserve">Active</t>
        </is>
      </c>
      <c r="P301" s="14"/>
    </row>
    <row r="302">
      <c r="A302" s="14" t="inlineStr">
        <is>
          <t xml:space="preserve">RR-0322</t>
        </is>
      </c>
      <c r="B302" s="14" t="inlineStr">
        <is>
          <t xml:space="preserve">Billing &amp; Stripe</t>
        </is>
      </c>
      <c r="C302" s="14" t="inlineStr">
        <is>
          <t xml:space="preserve">T&amp;A add-on and payment recovery</t>
        </is>
      </c>
      <c r="D302" s="14" t="inlineStr">
        <is>
          <t xml:space="preserve">Functional</t>
        </is>
      </c>
      <c r="E302" s="14" t="inlineStr">
        <is>
          <t xml:space="preserve">All retries fail</t>
        </is>
      </c>
      <c r="F302" s="14" t="inlineStr">
        <is>
          <t xml:space="preserve">Critical</t>
        </is>
      </c>
      <c r="G302" s="14" t="inlineStr">
        <is>
          <t xml:space="preserve">Medium</t>
        </is>
      </c>
      <c r="H302" s="14" t="inlineStr">
        <is>
          <t xml:space="preserve">Beta</t>
        </is>
      </c>
      <c r="I302" s="14" t="inlineStr">
        <is>
          <t xml:space="preserve">Stripe test mode; organisation with configurable locations, employees and add-ons.</t>
        </is>
      </c>
      <c r="J302" s="14" t="inlineStr">
        <is>
          <t xml:space="preserve">1. Prepare the stated preconditions and sign in with the required role.
2. Navigate to T&amp;A add-on and payment recovery.
3. Execute: All retries fail.
4. Refresh or reopen the relevant page and inspect persisted data.
5. Verify UI feedback, permissions, notifications and audit records where applicable.</t>
        </is>
      </c>
      <c r="K302" s="14" t="inlineStr">
        <is>
          <t xml:space="preserve">Trials, cards, failed payments, multiple locations and mixed T&amp;A</t>
        </is>
      </c>
      <c r="L302" s="14" t="inlineStr">
        <is>
          <t xml:space="preserve">Account enters configured recovery/read-only state and admin visibility is clear.</t>
        </is>
      </c>
      <c r="M302" s="14" t="inlineStr">
        <is>
          <t xml:space="preserve">Candidate</t>
        </is>
      </c>
      <c r="N302" s="14" t="inlineStr">
        <is>
          <t xml:space="preserve">Yes</t>
        </is>
      </c>
      <c r="O302" s="14" t="inlineStr">
        <is>
          <t xml:space="preserve">Active</t>
        </is>
      </c>
      <c r="P302" s="14"/>
    </row>
    <row r="303">
      <c r="A303" s="14" t="inlineStr">
        <is>
          <t xml:space="preserve">RR-0323</t>
        </is>
      </c>
      <c r="B303" s="14" t="inlineStr">
        <is>
          <t xml:space="preserve">Billing &amp; Stripe</t>
        </is>
      </c>
      <c r="C303" s="14" t="inlineStr">
        <is>
          <t xml:space="preserve">T&amp;A add-on and payment recovery</t>
        </is>
      </c>
      <c r="D303" s="14" t="inlineStr">
        <is>
          <t xml:space="preserve">Functional</t>
        </is>
      </c>
      <c r="E303" s="14" t="inlineStr">
        <is>
          <t xml:space="preserve">Customer updates card after failure</t>
        </is>
      </c>
      <c r="F303" s="14" t="inlineStr">
        <is>
          <t xml:space="preserve">High</t>
        </is>
      </c>
      <c r="G303" s="14" t="inlineStr">
        <is>
          <t xml:space="preserve">Medium</t>
        </is>
      </c>
      <c r="H303" s="14" t="inlineStr">
        <is>
          <t xml:space="preserve">Beta</t>
        </is>
      </c>
      <c r="I303" s="14" t="inlineStr">
        <is>
          <t xml:space="preserve">Stripe test mode; organisation with configurable locations, employees and add-ons.</t>
        </is>
      </c>
      <c r="J303" s="14" t="inlineStr">
        <is>
          <t xml:space="preserve">1. Prepare the stated preconditions and sign in with the required role.
2. Navigate to T&amp;A add-on and payment recovery.
3. Execute: Customer updates card after failure.
4. Refresh or reopen the relevant page and inspect persisted data.
5. Verify UI feedback, permissions, notifications and audit records where applicable.</t>
        </is>
      </c>
      <c r="K303" s="14" t="inlineStr">
        <is>
          <t xml:space="preserve">Trials, cards, failed payments, multiple locations and mixed T&amp;A</t>
        </is>
      </c>
      <c r="L303" s="14" t="inlineStr">
        <is>
          <t xml:space="preserve">Outstanding invoice is retried according to policy.</t>
        </is>
      </c>
      <c r="M303" s="14" t="inlineStr">
        <is>
          <t xml:space="preserve">Candidate</t>
        </is>
      </c>
      <c r="N303" s="14" t="inlineStr">
        <is>
          <t xml:space="preserve">Yes</t>
        </is>
      </c>
      <c r="O303" s="14" t="inlineStr">
        <is>
          <t xml:space="preserve">Active</t>
        </is>
      </c>
      <c r="P303" s="14"/>
    </row>
    <row r="304">
      <c r="A304" s="14" t="inlineStr">
        <is>
          <t xml:space="preserve">RR-0324</t>
        </is>
      </c>
      <c r="B304" s="14" t="inlineStr">
        <is>
          <t xml:space="preserve">Billing &amp; Stripe</t>
        </is>
      </c>
      <c r="C304" s="14" t="inlineStr">
        <is>
          <t xml:space="preserve">T&amp;A add-on and payment recovery</t>
        </is>
      </c>
      <c r="D304" s="14" t="inlineStr">
        <is>
          <t xml:space="preserve">Recovery</t>
        </is>
      </c>
      <c r="E304" s="14" t="inlineStr">
        <is>
          <t xml:space="preserve">Stripe is temporarily unavailable during checkout</t>
        </is>
      </c>
      <c r="F304" s="14" t="inlineStr">
        <is>
          <t xml:space="preserve">Critical</t>
        </is>
      </c>
      <c r="G304" s="14" t="inlineStr">
        <is>
          <t xml:space="preserve">Medium</t>
        </is>
      </c>
      <c r="H304" s="14" t="inlineStr">
        <is>
          <t xml:space="preserve">Beta</t>
        </is>
      </c>
      <c r="I304" s="14" t="inlineStr">
        <is>
          <t xml:space="preserve">Stripe test mode; organisation with configurable locations, employees and add-ons.</t>
        </is>
      </c>
      <c r="J304" s="14" t="inlineStr">
        <is>
          <t xml:space="preserve">1. Prepare the stated preconditions and sign in with the required role.
2. Navigate to T&amp;A add-on and payment recovery.
3. Execute: Stripe is temporarily unavailable during checkout.
4. Refresh or reopen the relevant page and inspect persisted data.
5. Verify UI feedback, permissions, notifications and audit records where applicable.</t>
        </is>
      </c>
      <c r="K304" s="14" t="inlineStr">
        <is>
          <t xml:space="preserve">Trials, cards, failed payments, multiple locations and mixed T&amp;A</t>
        </is>
      </c>
      <c r="L304" s="14" t="inlineStr">
        <is>
          <t xml:space="preserve">UI shows recoverable error and no duplicate subscription/customer is created.</t>
        </is>
      </c>
      <c r="M304" s="14" t="inlineStr">
        <is>
          <t xml:space="preserve">Candidate</t>
        </is>
      </c>
      <c r="N304" s="14" t="inlineStr">
        <is>
          <t xml:space="preserve">Yes</t>
        </is>
      </c>
      <c r="O304" s="14" t="inlineStr">
        <is>
          <t xml:space="preserve">Active</t>
        </is>
      </c>
      <c r="P304" s="14"/>
    </row>
    <row r="305">
      <c r="A305" s="14" t="inlineStr">
        <is>
          <t xml:space="preserve">RR-0325</t>
        </is>
      </c>
      <c r="B305" s="14" t="inlineStr">
        <is>
          <t xml:space="preserve">Billing &amp; Stripe</t>
        </is>
      </c>
      <c r="C305" s="14" t="inlineStr">
        <is>
          <t xml:space="preserve">T&amp;A add-on and payment recovery</t>
        </is>
      </c>
      <c r="D305" s="14" t="inlineStr">
        <is>
          <t xml:space="preserve">Security</t>
        </is>
      </c>
      <c r="E305" s="14" t="inlineStr">
        <is>
          <t xml:space="preserve">Billing page is opened by unauthorised user</t>
        </is>
      </c>
      <c r="F305" s="14" t="inlineStr">
        <is>
          <t xml:space="preserve">Critical</t>
        </is>
      </c>
      <c r="G305" s="14" t="inlineStr">
        <is>
          <t xml:space="preserve">Medium</t>
        </is>
      </c>
      <c r="H305" s="14" t="inlineStr">
        <is>
          <t xml:space="preserve">Beta</t>
        </is>
      </c>
      <c r="I305" s="14" t="inlineStr">
        <is>
          <t xml:space="preserve">Stripe test mode; organisation with configurable locations, employees and add-ons.</t>
        </is>
      </c>
      <c r="J305" s="14" t="inlineStr">
        <is>
          <t xml:space="preserve">1. Prepare the stated preconditions and sign in with the required role.
2. Navigate to T&amp;A add-on and payment recovery.
3. Execute: Billing page is opened by unauthorised user.
4. Refresh or reopen the relevant page and inspect persisted data.
5. Verify UI feedback, permissions, notifications and audit records where applicable.</t>
        </is>
      </c>
      <c r="K305" s="14" t="inlineStr">
        <is>
          <t xml:space="preserve">Trials, cards, failed payments, multiple locations and mixed T&amp;A</t>
        </is>
      </c>
      <c r="L305" s="14" t="inlineStr">
        <is>
          <t xml:space="preserve">Sensitive billing/customer data is not returned.</t>
        </is>
      </c>
      <c r="M305" s="14" t="inlineStr">
        <is>
          <t xml:space="preserve">Candidate</t>
        </is>
      </c>
      <c r="N305" s="14" t="inlineStr">
        <is>
          <t xml:space="preserve">Yes</t>
        </is>
      </c>
      <c r="O305" s="14" t="inlineStr">
        <is>
          <t xml:space="preserve">Active</t>
        </is>
      </c>
      <c r="P305" s="14"/>
    </row>
    <row r="306">
      <c r="A306" s="14" t="inlineStr">
        <is>
          <t xml:space="preserve">RR-0326</t>
        </is>
      </c>
      <c r="B306" s="14" t="inlineStr">
        <is>
          <t xml:space="preserve">Billing &amp; Stripe</t>
        </is>
      </c>
      <c r="C306" s="14" t="inlineStr">
        <is>
          <t xml:space="preserve">T&amp;A add-on and payment recovery</t>
        </is>
      </c>
      <c r="D306" s="14" t="inlineStr">
        <is>
          <t xml:space="preserve">Functional</t>
        </is>
      </c>
      <c r="E306" s="14" t="inlineStr">
        <is>
          <t xml:space="preserve">Price configuration changes for future customers</t>
        </is>
      </c>
      <c r="F306" s="14" t="inlineStr">
        <is>
          <t xml:space="preserve">High</t>
        </is>
      </c>
      <c r="G306" s="14" t="inlineStr">
        <is>
          <t xml:space="preserve">Medium</t>
        </is>
      </c>
      <c r="H306" s="14" t="inlineStr">
        <is>
          <t xml:space="preserve">Beta</t>
        </is>
      </c>
      <c r="I306" s="14" t="inlineStr">
        <is>
          <t xml:space="preserve">Stripe test mode; organisation with configurable locations, employees and add-ons.</t>
        </is>
      </c>
      <c r="J306" s="14" t="inlineStr">
        <is>
          <t xml:space="preserve">1. Prepare the stated preconditions and sign in with the required role.
2. Navigate to T&amp;A add-on and payment recovery.
3. Execute: Price configuration changes for future customers.
4. Refresh or reopen the relevant page and inspect persisted data.
5. Verify UI feedback, permissions, notifications and audit records where applicable.</t>
        </is>
      </c>
      <c r="K306" s="14" t="inlineStr">
        <is>
          <t xml:space="preserve">Trials, cards, failed payments, multiple locations and mixed T&amp;A</t>
        </is>
      </c>
      <c r="L306" s="14" t="inlineStr">
        <is>
          <t xml:space="preserve">Existing customer grandfathering/migration behaviour matches policy.</t>
        </is>
      </c>
      <c r="M306" s="14" t="inlineStr">
        <is>
          <t xml:space="preserve">Candidate</t>
        </is>
      </c>
      <c r="N306" s="14" t="inlineStr">
        <is>
          <t xml:space="preserve">Yes</t>
        </is>
      </c>
      <c r="O306" s="14" t="inlineStr">
        <is>
          <t xml:space="preserve">Active</t>
        </is>
      </c>
      <c r="P306" s="14"/>
    </row>
    <row r="307">
      <c r="A307" s="14" t="inlineStr">
        <is>
          <t xml:space="preserve">RR-0327</t>
        </is>
      </c>
      <c r="B307" s="14" t="inlineStr">
        <is>
          <t xml:space="preserve">Transactional Emails</t>
        </is>
      </c>
      <c r="C307" s="14" t="inlineStr">
        <is>
          <t xml:space="preserve">Account and security emails</t>
        </is>
      </c>
      <c r="D307" s="14" t="inlineStr">
        <is>
          <t xml:space="preserve">Integration</t>
        </is>
      </c>
      <c r="E307" s="14" t="inlineStr">
        <is>
          <t xml:space="preserve">Send welcome email after successful onboarding</t>
        </is>
      </c>
      <c r="F307" s="14" t="inlineStr">
        <is>
          <t xml:space="preserve">High</t>
        </is>
      </c>
      <c r="G307" s="14" t="inlineStr">
        <is>
          <t xml:space="preserve">Medium</t>
        </is>
      </c>
      <c r="H307" s="14" t="inlineStr">
        <is>
          <t xml:space="preserve">Beta</t>
        </is>
      </c>
      <c r="I307" s="14" t="inlineStr">
        <is>
          <t xml:space="preserve">Resend staging domain configured; test inboxes available.</t>
        </is>
      </c>
      <c r="J307" s="14" t="inlineStr">
        <is>
          <t xml:space="preserve">1. Prepare the stated preconditions and sign in with the required role.
2. Navigate to Account and security emails.
3. Execute: Send welcome email after successful onboarding.
4. Refresh or reopen the relevant page and inspect persisted data.
5. Verify UI feedback, permissions, notifications and audit records where applicable.</t>
        </is>
      </c>
      <c r="K307" s="14" t="inlineStr">
        <is>
          <t xml:space="preserve">Valid, bounced, suppressed and duplicate delivery cases</t>
        </is>
      </c>
      <c r="L307" s="14" t="inlineStr">
        <is>
          <t xml:space="preserve">Email is sent once with correct branding, organisation and app link.</t>
        </is>
      </c>
      <c r="M307" s="14" t="inlineStr">
        <is>
          <t xml:space="preserve">Candidate</t>
        </is>
      </c>
      <c r="N307" s="14" t="inlineStr">
        <is>
          <t xml:space="preserve">Yes</t>
        </is>
      </c>
      <c r="O307" s="14" t="inlineStr">
        <is>
          <t xml:space="preserve">Active</t>
        </is>
      </c>
      <c r="P307" s="14"/>
    </row>
    <row r="308">
      <c r="A308" s="14" t="inlineStr">
        <is>
          <t xml:space="preserve">RR-0328</t>
        </is>
      </c>
      <c r="B308" s="14" t="inlineStr">
        <is>
          <t xml:space="preserve">Transactional Emails</t>
        </is>
      </c>
      <c r="C308" s="14" t="inlineStr">
        <is>
          <t xml:space="preserve">Account and security emails</t>
        </is>
      </c>
      <c r="D308" s="14" t="inlineStr">
        <is>
          <t xml:space="preserve">Integration</t>
        </is>
      </c>
      <c r="E308" s="14" t="inlineStr">
        <is>
          <t xml:space="preserve">Send verification email</t>
        </is>
      </c>
      <c r="F308" s="14" t="inlineStr">
        <is>
          <t xml:space="preserve">Critical</t>
        </is>
      </c>
      <c r="G308" s="14" t="inlineStr">
        <is>
          <t xml:space="preserve">Medium</t>
        </is>
      </c>
      <c r="H308" s="14" t="inlineStr">
        <is>
          <t xml:space="preserve">Beta</t>
        </is>
      </c>
      <c r="I308" s="14" t="inlineStr">
        <is>
          <t xml:space="preserve">Resend staging domain configured; test inboxes available.</t>
        </is>
      </c>
      <c r="J308" s="14" t="inlineStr">
        <is>
          <t xml:space="preserve">1. Prepare the stated preconditions and sign in with the required role.
2. Navigate to Account and security emails.
3. Execute: Send verification email.
4. Refresh or reopen the relevant page and inspect persisted data.
5. Verify UI feedback, permissions, notifications and audit records where applicable.</t>
        </is>
      </c>
      <c r="K308" s="14" t="inlineStr">
        <is>
          <t xml:space="preserve">Valid, bounced, suppressed and duplicate delivery cases</t>
        </is>
      </c>
      <c r="L308" s="14" t="inlineStr">
        <is>
          <t xml:space="preserve">Link targets the correct environment/domain and expires as configured.</t>
        </is>
      </c>
      <c r="M308" s="14" t="inlineStr">
        <is>
          <t xml:space="preserve">Candidate</t>
        </is>
      </c>
      <c r="N308" s="14" t="inlineStr">
        <is>
          <t xml:space="preserve">Yes</t>
        </is>
      </c>
      <c r="O308" s="14" t="inlineStr">
        <is>
          <t xml:space="preserve">Active</t>
        </is>
      </c>
      <c r="P308" s="14"/>
    </row>
    <row r="309">
      <c r="A309" s="14" t="inlineStr">
        <is>
          <t xml:space="preserve">RR-0329</t>
        </is>
      </c>
      <c r="B309" s="14" t="inlineStr">
        <is>
          <t xml:space="preserve">Transactional Emails</t>
        </is>
      </c>
      <c r="C309" s="14" t="inlineStr">
        <is>
          <t xml:space="preserve">Account and security emails</t>
        </is>
      </c>
      <c r="D309" s="14" t="inlineStr">
        <is>
          <t xml:space="preserve">Security</t>
        </is>
      </c>
      <c r="E309" s="14" t="inlineStr">
        <is>
          <t xml:space="preserve">Send password reset email</t>
        </is>
      </c>
      <c r="F309" s="14" t="inlineStr">
        <is>
          <t xml:space="preserve">Critical</t>
        </is>
      </c>
      <c r="G309" s="14" t="inlineStr">
        <is>
          <t xml:space="preserve">Medium</t>
        </is>
      </c>
      <c r="H309" s="14" t="inlineStr">
        <is>
          <t xml:space="preserve">Beta</t>
        </is>
      </c>
      <c r="I309" s="14" t="inlineStr">
        <is>
          <t xml:space="preserve">Resend staging domain configured; test inboxes available.</t>
        </is>
      </c>
      <c r="J309" s="14" t="inlineStr">
        <is>
          <t xml:space="preserve">1. Prepare the stated preconditions and sign in with the required role.
2. Navigate to Account and security emails.
3. Execute: Send password reset email.
4. Refresh or reopen the relevant page and inspect persisted data.
5. Verify UI feedback, permissions, notifications and audit records where applicable.</t>
        </is>
      </c>
      <c r="K309" s="14" t="inlineStr">
        <is>
          <t xml:space="preserve">Valid, bounced, suppressed and duplicate delivery cases</t>
        </is>
      </c>
      <c r="L309" s="14" t="inlineStr">
        <is>
          <t xml:space="preserve">Single-use link is correct and no password/account data is exposed.</t>
        </is>
      </c>
      <c r="M309" s="14" t="inlineStr">
        <is>
          <t xml:space="preserve">Candidate</t>
        </is>
      </c>
      <c r="N309" s="14" t="inlineStr">
        <is>
          <t xml:space="preserve">Yes</t>
        </is>
      </c>
      <c r="O309" s="14" t="inlineStr">
        <is>
          <t xml:space="preserve">Active</t>
        </is>
      </c>
      <c r="P309" s="14"/>
    </row>
    <row r="310">
      <c r="A310" s="14" t="inlineStr">
        <is>
          <t xml:space="preserve">RR-0330</t>
        </is>
      </c>
      <c r="B310" s="14" t="inlineStr">
        <is>
          <t xml:space="preserve">Transactional Emails</t>
        </is>
      </c>
      <c r="C310" s="14" t="inlineStr">
        <is>
          <t xml:space="preserve">Account and security emails</t>
        </is>
      </c>
      <c r="D310" s="14" t="inlineStr">
        <is>
          <t xml:space="preserve">Security</t>
        </is>
      </c>
      <c r="E310" s="14" t="inlineStr">
        <is>
          <t xml:space="preserve">Send password changed confirmation</t>
        </is>
      </c>
      <c r="F310" s="14" t="inlineStr">
        <is>
          <t xml:space="preserve">High</t>
        </is>
      </c>
      <c r="G310" s="14" t="inlineStr">
        <is>
          <t xml:space="preserve">Medium</t>
        </is>
      </c>
      <c r="H310" s="14" t="inlineStr">
        <is>
          <t xml:space="preserve">Beta</t>
        </is>
      </c>
      <c r="I310" s="14" t="inlineStr">
        <is>
          <t xml:space="preserve">Resend staging domain configured; test inboxes available.</t>
        </is>
      </c>
      <c r="J310" s="14" t="inlineStr">
        <is>
          <t xml:space="preserve">1. Prepare the stated preconditions and sign in with the required role.
2. Navigate to Account and security emails.
3. Execute: Send password changed confirmation.
4. Refresh or reopen the relevant page and inspect persisted data.
5. Verify UI feedback, permissions, notifications and audit records where applicable.</t>
        </is>
      </c>
      <c r="K310" s="14" t="inlineStr">
        <is>
          <t xml:space="preserve">Valid, bounced, suppressed and duplicate delivery cases</t>
        </is>
      </c>
      <c r="L310" s="14" t="inlineStr">
        <is>
          <t xml:space="preserve">User receives a security notice without a reusable credential link.</t>
        </is>
      </c>
      <c r="M310" s="14" t="inlineStr">
        <is>
          <t xml:space="preserve">Candidate</t>
        </is>
      </c>
      <c r="N310" s="14" t="inlineStr">
        <is>
          <t xml:space="preserve">Yes</t>
        </is>
      </c>
      <c r="O310" s="14" t="inlineStr">
        <is>
          <t xml:space="preserve">Active</t>
        </is>
      </c>
      <c r="P310" s="14"/>
    </row>
    <row r="311">
      <c r="A311" s="14" t="inlineStr">
        <is>
          <t xml:space="preserve">RR-0331</t>
        </is>
      </c>
      <c r="B311" s="14" t="inlineStr">
        <is>
          <t xml:space="preserve">Transactional Emails</t>
        </is>
      </c>
      <c r="C311" s="14" t="inlineStr">
        <is>
          <t xml:space="preserve">Account and security emails</t>
        </is>
      </c>
      <c r="D311" s="14" t="inlineStr">
        <is>
          <t xml:space="preserve">Functional</t>
        </is>
      </c>
      <c r="E311" s="14" t="inlineStr">
        <is>
          <t xml:space="preserve">Email address contains uppercase characters</t>
        </is>
      </c>
      <c r="F311" s="14" t="inlineStr">
        <is>
          <t xml:space="preserve">Medium</t>
        </is>
      </c>
      <c r="G311" s="14" t="inlineStr">
        <is>
          <t xml:space="preserve">Medium</t>
        </is>
      </c>
      <c r="H311" s="14" t="inlineStr">
        <is>
          <t xml:space="preserve">Beta</t>
        </is>
      </c>
      <c r="I311" s="14" t="inlineStr">
        <is>
          <t xml:space="preserve">Resend staging domain configured; test inboxes available.</t>
        </is>
      </c>
      <c r="J311" s="14" t="inlineStr">
        <is>
          <t xml:space="preserve">1. Prepare the stated preconditions and sign in with the required role.
2. Navigate to Account and security emails.
3. Execute: Email address contains uppercase characters.
4. Refresh or reopen the relevant page and inspect persisted data.
5. Verify UI feedback, permissions, notifications and audit records where applicable.</t>
        </is>
      </c>
      <c r="K311" s="14" t="inlineStr">
        <is>
          <t xml:space="preserve">Valid, bounced, suppressed and duplicate delivery cases</t>
        </is>
      </c>
      <c r="L311" s="14" t="inlineStr">
        <is>
          <t xml:space="preserve">Address handling is consistent and delivery/account matching remain correct.</t>
        </is>
      </c>
      <c r="M311" s="14" t="inlineStr">
        <is>
          <t xml:space="preserve">Candidate</t>
        </is>
      </c>
      <c r="N311" s="14" t="inlineStr">
        <is>
          <t xml:space="preserve">No</t>
        </is>
      </c>
      <c r="O311" s="14" t="inlineStr">
        <is>
          <t xml:space="preserve">Active</t>
        </is>
      </c>
      <c r="P311" s="14"/>
    </row>
    <row r="312">
      <c r="A312" s="14" t="inlineStr">
        <is>
          <t xml:space="preserve">RR-0332</t>
        </is>
      </c>
      <c r="B312" s="14" t="inlineStr">
        <is>
          <t xml:space="preserve">Transactional Emails</t>
        </is>
      </c>
      <c r="C312" s="14" t="inlineStr">
        <is>
          <t xml:space="preserve">Account and security emails</t>
        </is>
      </c>
      <c r="D312" s="14" t="inlineStr">
        <is>
          <t xml:space="preserve">Reliability</t>
        </is>
      </c>
      <c r="E312" s="14" t="inlineStr">
        <is>
          <t xml:space="preserve">Email provider reports a bounce</t>
        </is>
      </c>
      <c r="F312" s="14" t="inlineStr">
        <is>
          <t xml:space="preserve">High</t>
        </is>
      </c>
      <c r="G312" s="14" t="inlineStr">
        <is>
          <t xml:space="preserve">Medium</t>
        </is>
      </c>
      <c r="H312" s="14" t="inlineStr">
        <is>
          <t xml:space="preserve">Beta</t>
        </is>
      </c>
      <c r="I312" s="14" t="inlineStr">
        <is>
          <t xml:space="preserve">Resend staging domain configured; test inboxes available.</t>
        </is>
      </c>
      <c r="J312" s="14" t="inlineStr">
        <is>
          <t xml:space="preserve">1. Prepare the stated preconditions and sign in with the required role.
2. Navigate to Account and security emails.
3. Execute: Email provider reports a bounce.
4. Refresh or reopen the relevant page and inspect persisted data.
5. Verify UI feedback, permissions, notifications and audit records where applicable.</t>
        </is>
      </c>
      <c r="K312" s="14" t="inlineStr">
        <is>
          <t xml:space="preserve">Valid, bounced, suppressed and duplicate delivery cases</t>
        </is>
      </c>
      <c r="L312" s="14" t="inlineStr">
        <is>
          <t xml:space="preserve">Bounce is recorded and repeated futile sends are controlled.</t>
        </is>
      </c>
      <c r="M312" s="14" t="inlineStr">
        <is>
          <t xml:space="preserve">Candidate</t>
        </is>
      </c>
      <c r="N312" s="14" t="inlineStr">
        <is>
          <t xml:space="preserve">Yes</t>
        </is>
      </c>
      <c r="O312" s="14" t="inlineStr">
        <is>
          <t xml:space="preserve">Active</t>
        </is>
      </c>
      <c r="P312" s="14"/>
    </row>
    <row r="313">
      <c r="A313" s="14" t="inlineStr">
        <is>
          <t xml:space="preserve">RR-0333</t>
        </is>
      </c>
      <c r="B313" s="14" t="inlineStr">
        <is>
          <t xml:space="preserve">Transactional Emails</t>
        </is>
      </c>
      <c r="C313" s="14" t="inlineStr">
        <is>
          <t xml:space="preserve">Account and security emails</t>
        </is>
      </c>
      <c r="D313" s="14" t="inlineStr">
        <is>
          <t xml:space="preserve">Functional</t>
        </is>
      </c>
      <c r="E313" s="14" t="inlineStr">
        <is>
          <t xml:space="preserve">Recipient is suppressed</t>
        </is>
      </c>
      <c r="F313" s="14" t="inlineStr">
        <is>
          <t xml:space="preserve">High</t>
        </is>
      </c>
      <c r="G313" s="14" t="inlineStr">
        <is>
          <t xml:space="preserve">Medium</t>
        </is>
      </c>
      <c r="H313" s="14" t="inlineStr">
        <is>
          <t xml:space="preserve">Beta</t>
        </is>
      </c>
      <c r="I313" s="14" t="inlineStr">
        <is>
          <t xml:space="preserve">Resend staging domain configured; test inboxes available.</t>
        </is>
      </c>
      <c r="J313" s="14" t="inlineStr">
        <is>
          <t xml:space="preserve">1. Prepare the stated preconditions and sign in with the required role.
2. Navigate to Account and security emails.
3. Execute: Recipient is suppressed.
4. Refresh or reopen the relevant page and inspect persisted data.
5. Verify UI feedback, permissions, notifications and audit records where applicable.</t>
        </is>
      </c>
      <c r="K313" s="14" t="inlineStr">
        <is>
          <t xml:space="preserve">Valid, bounced, suppressed and duplicate delivery cases</t>
        </is>
      </c>
      <c r="L313" s="14" t="inlineStr">
        <is>
          <t xml:space="preserve">Failure is visible to support/admin with safe remediation guidance.</t>
        </is>
      </c>
      <c r="M313" s="14" t="inlineStr">
        <is>
          <t xml:space="preserve">Candidate</t>
        </is>
      </c>
      <c r="N313" s="14" t="inlineStr">
        <is>
          <t xml:space="preserve">Yes</t>
        </is>
      </c>
      <c r="O313" s="14" t="inlineStr">
        <is>
          <t xml:space="preserve">Active</t>
        </is>
      </c>
      <c r="P313" s="14"/>
    </row>
    <row r="314">
      <c r="A314" s="14" t="inlineStr">
        <is>
          <t xml:space="preserve">RR-0334</t>
        </is>
      </c>
      <c r="B314" s="14" t="inlineStr">
        <is>
          <t xml:space="preserve">Transactional Emails</t>
        </is>
      </c>
      <c r="C314" s="14" t="inlineStr">
        <is>
          <t xml:space="preserve">Product and billing emails</t>
        </is>
      </c>
      <c r="D314" s="14" t="inlineStr">
        <is>
          <t xml:space="preserve">Functional</t>
        </is>
      </c>
      <c r="E314" s="14" t="inlineStr">
        <is>
          <t xml:space="preserve">Send rota published email</t>
        </is>
      </c>
      <c r="F314" s="14" t="inlineStr">
        <is>
          <t xml:space="preserve">Critical</t>
        </is>
      </c>
      <c r="G314" s="14" t="inlineStr">
        <is>
          <t xml:space="preserve">Medium</t>
        </is>
      </c>
      <c r="H314" s="14" t="inlineStr">
        <is>
          <t xml:space="preserve">Beta</t>
        </is>
      </c>
      <c r="I314" s="14" t="inlineStr">
        <is>
          <t xml:space="preserve">Resend staging domain configured; test inboxes available.</t>
        </is>
      </c>
      <c r="J314" s="14" t="inlineStr">
        <is>
          <t xml:space="preserve">1. Prepare the stated preconditions and sign in with the required role.
2. Navigate to Product and billing emails.
3. Execute: Send rota published email.
4. Refresh or reopen the relevant page and inspect persisted data.
5. Verify UI feedback, permissions, notifications and audit records where applicable.</t>
        </is>
      </c>
      <c r="K314" s="14" t="inlineStr">
        <is>
          <t xml:space="preserve">Valid, bounced, suppressed and duplicate delivery cases</t>
        </is>
      </c>
      <c r="L314" s="14" t="inlineStr">
        <is>
          <t xml:space="preserve">Contains correct location/week and deep link; employee sees only their information.</t>
        </is>
      </c>
      <c r="M314" s="14" t="inlineStr">
        <is>
          <t xml:space="preserve">Candidate</t>
        </is>
      </c>
      <c r="N314" s="14" t="inlineStr">
        <is>
          <t xml:space="preserve">Yes</t>
        </is>
      </c>
      <c r="O314" s="14" t="inlineStr">
        <is>
          <t xml:space="preserve">Active</t>
        </is>
      </c>
      <c r="P314" s="14"/>
    </row>
    <row r="315">
      <c r="A315" s="14" t="inlineStr">
        <is>
          <t xml:space="preserve">RR-0335</t>
        </is>
      </c>
      <c r="B315" s="14" t="inlineStr">
        <is>
          <t xml:space="preserve">Transactional Emails</t>
        </is>
      </c>
      <c r="C315" s="14" t="inlineStr">
        <is>
          <t xml:space="preserve">Product and billing emails</t>
        </is>
      </c>
      <c r="D315" s="14" t="inlineStr">
        <is>
          <t xml:space="preserve">Security</t>
        </is>
      </c>
      <c r="E315" s="14" t="inlineStr">
        <is>
          <t xml:space="preserve">Send rota changed email</t>
        </is>
      </c>
      <c r="F315" s="14" t="inlineStr">
        <is>
          <t xml:space="preserve">Critical</t>
        </is>
      </c>
      <c r="G315" s="14" t="inlineStr">
        <is>
          <t xml:space="preserve">Medium</t>
        </is>
      </c>
      <c r="H315" s="14" t="inlineStr">
        <is>
          <t xml:space="preserve">Beta</t>
        </is>
      </c>
      <c r="I315" s="14" t="inlineStr">
        <is>
          <t xml:space="preserve">Resend staging domain configured; test inboxes available.</t>
        </is>
      </c>
      <c r="J315" s="14" t="inlineStr">
        <is>
          <t xml:space="preserve">1. Prepare the stated preconditions and sign in with the required role.
2. Navigate to Product and billing emails.
3. Execute: Send rota changed email.
4. Refresh or reopen the relevant page and inspect persisted data.
5. Verify UI feedback, permissions, notifications and audit records where applicable.</t>
        </is>
      </c>
      <c r="K315" s="14" t="inlineStr">
        <is>
          <t xml:space="preserve">Valid, bounced, suppressed and duplicate delivery cases</t>
        </is>
      </c>
      <c r="L315" s="14" t="inlineStr">
        <is>
          <t xml:space="preserve">Clearly identifies the changed shift without exposing other employees.</t>
        </is>
      </c>
      <c r="M315" s="14" t="inlineStr">
        <is>
          <t xml:space="preserve">Candidate</t>
        </is>
      </c>
      <c r="N315" s="14" t="inlineStr">
        <is>
          <t xml:space="preserve">Yes</t>
        </is>
      </c>
      <c r="O315" s="14" t="inlineStr">
        <is>
          <t xml:space="preserve">Active</t>
        </is>
      </c>
      <c r="P315" s="14"/>
    </row>
    <row r="316">
      <c r="A316" s="14" t="inlineStr">
        <is>
          <t xml:space="preserve">RR-0336</t>
        </is>
      </c>
      <c r="B316" s="14" t="inlineStr">
        <is>
          <t xml:space="preserve">Transactional Emails</t>
        </is>
      </c>
      <c r="C316" s="14" t="inlineStr">
        <is>
          <t xml:space="preserve">Product and billing emails</t>
        </is>
      </c>
      <c r="D316" s="14" t="inlineStr">
        <is>
          <t xml:space="preserve">Functional</t>
        </is>
      </c>
      <c r="E316" s="14" t="inlineStr">
        <is>
          <t xml:space="preserve">Send invitation email</t>
        </is>
      </c>
      <c r="F316" s="14" t="inlineStr">
        <is>
          <t xml:space="preserve">Critical</t>
        </is>
      </c>
      <c r="G316" s="14" t="inlineStr">
        <is>
          <t xml:space="preserve">Medium</t>
        </is>
      </c>
      <c r="H316" s="14" t="inlineStr">
        <is>
          <t xml:space="preserve">Beta</t>
        </is>
      </c>
      <c r="I316" s="14" t="inlineStr">
        <is>
          <t xml:space="preserve">Resend staging domain configured; test inboxes available.</t>
        </is>
      </c>
      <c r="J316" s="14" t="inlineStr">
        <is>
          <t xml:space="preserve">1. Prepare the stated preconditions and sign in with the required role.
2. Navigate to Product and billing emails.
3. Execute: Send invitation email.
4. Refresh or reopen the relevant page and inspect persisted data.
5. Verify UI feedback, permissions, notifications and audit records where applicable.</t>
        </is>
      </c>
      <c r="K316" s="14" t="inlineStr">
        <is>
          <t xml:space="preserve">Valid, bounced, suppressed and duplicate delivery cases</t>
        </is>
      </c>
      <c r="L316" s="14" t="inlineStr">
        <is>
          <t xml:space="preserve">Contains correct inviter, organisation, role and expiry.</t>
        </is>
      </c>
      <c r="M316" s="14" t="inlineStr">
        <is>
          <t xml:space="preserve">Candidate</t>
        </is>
      </c>
      <c r="N316" s="14" t="inlineStr">
        <is>
          <t xml:space="preserve">Yes</t>
        </is>
      </c>
      <c r="O316" s="14" t="inlineStr">
        <is>
          <t xml:space="preserve">Active</t>
        </is>
      </c>
      <c r="P316" s="14"/>
    </row>
    <row r="317">
      <c r="A317" s="14" t="inlineStr">
        <is>
          <t xml:space="preserve">RR-0337</t>
        </is>
      </c>
      <c r="B317" s="14" t="inlineStr">
        <is>
          <t xml:space="preserve">Transactional Emails</t>
        </is>
      </c>
      <c r="C317" s="14" t="inlineStr">
        <is>
          <t xml:space="preserve">Product and billing emails</t>
        </is>
      </c>
      <c r="D317" s="14" t="inlineStr">
        <is>
          <t xml:space="preserve">Integration</t>
        </is>
      </c>
      <c r="E317" s="14" t="inlineStr">
        <is>
          <t xml:space="preserve">Send failed payment email</t>
        </is>
      </c>
      <c r="F317" s="14" t="inlineStr">
        <is>
          <t xml:space="preserve">Critical</t>
        </is>
      </c>
      <c r="G317" s="14" t="inlineStr">
        <is>
          <t xml:space="preserve">Medium</t>
        </is>
      </c>
      <c r="H317" s="14" t="inlineStr">
        <is>
          <t xml:space="preserve">Beta</t>
        </is>
      </c>
      <c r="I317" s="14" t="inlineStr">
        <is>
          <t xml:space="preserve">Resend staging domain configured; test inboxes available.</t>
        </is>
      </c>
      <c r="J317" s="14" t="inlineStr">
        <is>
          <t xml:space="preserve">1. Prepare the stated preconditions and sign in with the required role.
2. Navigate to Product and billing emails.
3. Execute: Send failed payment email.
4. Refresh or reopen the relevant page and inspect persisted data.
5. Verify UI feedback, permissions, notifications and audit records where applicable.</t>
        </is>
      </c>
      <c r="K317" s="14" t="inlineStr">
        <is>
          <t xml:space="preserve">Valid, bounced, suppressed and duplicate delivery cases</t>
        </is>
      </c>
      <c r="L317" s="14" t="inlineStr">
        <is>
          <t xml:space="preserve">Contains amount/status, safe billing link and recovery guidance.</t>
        </is>
      </c>
      <c r="M317" s="14" t="inlineStr">
        <is>
          <t xml:space="preserve">Candidate</t>
        </is>
      </c>
      <c r="N317" s="14" t="inlineStr">
        <is>
          <t xml:space="preserve">Yes</t>
        </is>
      </c>
      <c r="O317" s="14" t="inlineStr">
        <is>
          <t xml:space="preserve">Active</t>
        </is>
      </c>
      <c r="P317" s="14"/>
    </row>
    <row r="318">
      <c r="A318" s="14" t="inlineStr">
        <is>
          <t xml:space="preserve">RR-0338</t>
        </is>
      </c>
      <c r="B318" s="14" t="inlineStr">
        <is>
          <t xml:space="preserve">Transactional Emails</t>
        </is>
      </c>
      <c r="C318" s="14" t="inlineStr">
        <is>
          <t xml:space="preserve">Product and billing emails</t>
        </is>
      </c>
      <c r="D318" s="14" t="inlineStr">
        <is>
          <t xml:space="preserve">Functional</t>
        </is>
      </c>
      <c r="E318" s="14" t="inlineStr">
        <is>
          <t xml:space="preserve">Send payment recovered email</t>
        </is>
      </c>
      <c r="F318" s="14" t="inlineStr">
        <is>
          <t xml:space="preserve">High</t>
        </is>
      </c>
      <c r="G318" s="14" t="inlineStr">
        <is>
          <t xml:space="preserve">Medium</t>
        </is>
      </c>
      <c r="H318" s="14" t="inlineStr">
        <is>
          <t xml:space="preserve">Beta</t>
        </is>
      </c>
      <c r="I318" s="14" t="inlineStr">
        <is>
          <t xml:space="preserve">Resend staging domain configured; test inboxes available.</t>
        </is>
      </c>
      <c r="J318" s="14" t="inlineStr">
        <is>
          <t xml:space="preserve">1. Prepare the stated preconditions and sign in with the required role.
2. Navigate to Product and billing emails.
3. Execute: Send payment recovered email.
4. Refresh or reopen the relevant page and inspect persisted data.
5. Verify UI feedback, permissions, notifications and audit records where applicable.</t>
        </is>
      </c>
      <c r="K318" s="14" t="inlineStr">
        <is>
          <t xml:space="preserve">Valid, bounced, suppressed and duplicate delivery cases</t>
        </is>
      </c>
      <c r="L318" s="14" t="inlineStr">
        <is>
          <t xml:space="preserve">Confirms restored status once and references the correct account.</t>
        </is>
      </c>
      <c r="M318" s="14" t="inlineStr">
        <is>
          <t xml:space="preserve">Candidate</t>
        </is>
      </c>
      <c r="N318" s="14" t="inlineStr">
        <is>
          <t xml:space="preserve">Yes</t>
        </is>
      </c>
      <c r="O318" s="14" t="inlineStr">
        <is>
          <t xml:space="preserve">Active</t>
        </is>
      </c>
      <c r="P318" s="14"/>
    </row>
    <row r="319">
      <c r="A319" s="14" t="inlineStr">
        <is>
          <t xml:space="preserve">RR-0339</t>
        </is>
      </c>
      <c r="B319" s="14" t="inlineStr">
        <is>
          <t xml:space="preserve">Transactional Emails</t>
        </is>
      </c>
      <c r="C319" s="14" t="inlineStr">
        <is>
          <t xml:space="preserve">Product and billing emails</t>
        </is>
      </c>
      <c r="D319" s="14" t="inlineStr">
        <is>
          <t xml:space="preserve">Functional</t>
        </is>
      </c>
      <c r="E319" s="14" t="inlineStr">
        <is>
          <t xml:space="preserve">Send trial ending reminder</t>
        </is>
      </c>
      <c r="F319" s="14" t="inlineStr">
        <is>
          <t xml:space="preserve">High</t>
        </is>
      </c>
      <c r="G319" s="14" t="inlineStr">
        <is>
          <t xml:space="preserve">Medium</t>
        </is>
      </c>
      <c r="H319" s="14" t="inlineStr">
        <is>
          <t xml:space="preserve">Beta</t>
        </is>
      </c>
      <c r="I319" s="14" t="inlineStr">
        <is>
          <t xml:space="preserve">Resend staging domain configured; test inboxes available.</t>
        </is>
      </c>
      <c r="J319" s="14" t="inlineStr">
        <is>
          <t xml:space="preserve">1. Prepare the stated preconditions and sign in with the required role.
2. Navigate to Product and billing emails.
3. Execute: Send trial ending reminder.
4. Refresh or reopen the relevant page and inspect persisted data.
5. Verify UI feedback, permissions, notifications and audit records where applicable.</t>
        </is>
      </c>
      <c r="K319" s="14" t="inlineStr">
        <is>
          <t xml:space="preserve">Valid, bounced, suppressed and duplicate delivery cases</t>
        </is>
      </c>
      <c r="L319" s="14" t="inlineStr">
        <is>
          <t xml:space="preserve">Delivered at the configured interval with accurate date and pricing context.</t>
        </is>
      </c>
      <c r="M319" s="14" t="inlineStr">
        <is>
          <t xml:space="preserve">Candidate</t>
        </is>
      </c>
      <c r="N319" s="14" t="inlineStr">
        <is>
          <t xml:space="preserve">Yes</t>
        </is>
      </c>
      <c r="O319" s="14" t="inlineStr">
        <is>
          <t xml:space="preserve">Active</t>
        </is>
      </c>
      <c r="P319" s="14"/>
    </row>
    <row r="320">
      <c r="A320" s="14" t="inlineStr">
        <is>
          <t xml:space="preserve">RR-0340</t>
        </is>
      </c>
      <c r="B320" s="14" t="inlineStr">
        <is>
          <t xml:space="preserve">Transactional Emails</t>
        </is>
      </c>
      <c r="C320" s="14" t="inlineStr">
        <is>
          <t xml:space="preserve">Product and billing emails</t>
        </is>
      </c>
      <c r="D320" s="14" t="inlineStr">
        <is>
          <t xml:space="preserve">Functional</t>
        </is>
      </c>
      <c r="E320" s="14" t="inlineStr">
        <is>
          <t xml:space="preserve">Send T&amp;A activation/cancellation confirmation</t>
        </is>
      </c>
      <c r="F320" s="14" t="inlineStr">
        <is>
          <t xml:space="preserve">High</t>
        </is>
      </c>
      <c r="G320" s="14" t="inlineStr">
        <is>
          <t xml:space="preserve">Medium</t>
        </is>
      </c>
      <c r="H320" s="14" t="inlineStr">
        <is>
          <t xml:space="preserve">Beta</t>
        </is>
      </c>
      <c r="I320" s="14" t="inlineStr">
        <is>
          <t xml:space="preserve">Resend staging domain configured; test inboxes available.</t>
        </is>
      </c>
      <c r="J320" s="14" t="inlineStr">
        <is>
          <t xml:space="preserve">1. Prepare the stated preconditions and sign in with the required role.
2. Navigate to Product and billing emails.
3. Execute: Send T&amp;A activation/cancellation confirmation.
4. Refresh or reopen the relevant page and inspect persisted data.
5. Verify UI feedback, permissions, notifications and audit records where applicable.</t>
        </is>
      </c>
      <c r="K320" s="14" t="inlineStr">
        <is>
          <t xml:space="preserve">Valid, bounced, suppressed and duplicate delivery cases</t>
        </is>
      </c>
      <c r="L320" s="14" t="inlineStr">
        <is>
          <t xml:space="preserve">Location, effective date and billing impact are clear.</t>
        </is>
      </c>
      <c r="M320" s="14" t="inlineStr">
        <is>
          <t xml:space="preserve">Candidate</t>
        </is>
      </c>
      <c r="N320" s="14" t="inlineStr">
        <is>
          <t xml:space="preserve">Yes</t>
        </is>
      </c>
      <c r="O320" s="14" t="inlineStr">
        <is>
          <t xml:space="preserve">Active</t>
        </is>
      </c>
      <c r="P320" s="14"/>
    </row>
    <row r="321">
      <c r="A321" s="14" t="inlineStr">
        <is>
          <t xml:space="preserve">RR-0341</t>
        </is>
      </c>
      <c r="B321" s="14" t="inlineStr">
        <is>
          <t xml:space="preserve">Transactional Emails</t>
        </is>
      </c>
      <c r="C321" s="14" t="inlineStr">
        <is>
          <t xml:space="preserve">Product and billing emails</t>
        </is>
      </c>
      <c r="D321" s="14" t="inlineStr">
        <is>
          <t xml:space="preserve">Accessibility</t>
        </is>
      </c>
      <c r="E321" s="14" t="inlineStr">
        <is>
          <t xml:space="preserve">Email HTML is viewed with images disabled</t>
        </is>
      </c>
      <c r="F321" s="14" t="inlineStr">
        <is>
          <t xml:space="preserve">Medium</t>
        </is>
      </c>
      <c r="G321" s="14" t="inlineStr">
        <is>
          <t xml:space="preserve">Medium</t>
        </is>
      </c>
      <c r="H321" s="14" t="inlineStr">
        <is>
          <t xml:space="preserve">Beta</t>
        </is>
      </c>
      <c r="I321" s="14" t="inlineStr">
        <is>
          <t xml:space="preserve">Resend staging domain configured; test inboxes available.</t>
        </is>
      </c>
      <c r="J321" s="14" t="inlineStr">
        <is>
          <t xml:space="preserve">1. Prepare the stated preconditions and sign in with the required role.
2. Navigate to Product and billing emails.
3. Execute: Email HTML is viewed with images disabled.
4. Refresh or reopen the relevant page and inspect persisted data.
5. Verify UI feedback, permissions, notifications and audit records where applicable.</t>
        </is>
      </c>
      <c r="K321" s="14" t="inlineStr">
        <is>
          <t xml:space="preserve">Valid, bounced, suppressed and duplicate delivery cases</t>
        </is>
      </c>
      <c r="L321" s="14" t="inlineStr">
        <is>
          <t xml:space="preserve">Core content and calls to action remain understandable.</t>
        </is>
      </c>
      <c r="M321" s="14" t="inlineStr">
        <is>
          <t xml:space="preserve">Candidate</t>
        </is>
      </c>
      <c r="N321" s="14" t="inlineStr">
        <is>
          <t xml:space="preserve">No</t>
        </is>
      </c>
      <c r="O321" s="14" t="inlineStr">
        <is>
          <t xml:space="preserve">Active</t>
        </is>
      </c>
      <c r="P321" s="14"/>
    </row>
    <row r="322">
      <c r="A322" s="14" t="inlineStr">
        <is>
          <t xml:space="preserve">RR-0342</t>
        </is>
      </c>
      <c r="B322" s="14" t="inlineStr">
        <is>
          <t xml:space="preserve">Transactional Emails</t>
        </is>
      </c>
      <c r="C322" s="14" t="inlineStr">
        <is>
          <t xml:space="preserve">Product and billing emails</t>
        </is>
      </c>
      <c r="D322" s="14" t="inlineStr">
        <is>
          <t xml:space="preserve">Compatibility</t>
        </is>
      </c>
      <c r="E322" s="14" t="inlineStr">
        <is>
          <t xml:space="preserve">Email is viewed on narrow mobile client</t>
        </is>
      </c>
      <c r="F322" s="14" t="inlineStr">
        <is>
          <t xml:space="preserve">High</t>
        </is>
      </c>
      <c r="G322" s="14" t="inlineStr">
        <is>
          <t xml:space="preserve">Medium</t>
        </is>
      </c>
      <c r="H322" s="14" t="inlineStr">
        <is>
          <t xml:space="preserve">Beta</t>
        </is>
      </c>
      <c r="I322" s="14" t="inlineStr">
        <is>
          <t xml:space="preserve">Resend staging domain configured; test inboxes available.</t>
        </is>
      </c>
      <c r="J322" s="14" t="inlineStr">
        <is>
          <t xml:space="preserve">1. Prepare the stated preconditions and sign in with the required role.
2. Navigate to Product and billing emails.
3. Execute: Email is viewed on narrow mobile client.
4. Refresh or reopen the relevant page and inspect persisted data.
5. Verify UI feedback, permissions, notifications and audit records where applicable.</t>
        </is>
      </c>
      <c r="K322" s="14" t="inlineStr">
        <is>
          <t xml:space="preserve">Valid, bounced, suppressed and duplicate delivery cases</t>
        </is>
      </c>
      <c r="L322" s="14" t="inlineStr">
        <is>
          <t xml:space="preserve">Layout is readable and buttons remain tappable.</t>
        </is>
      </c>
      <c r="M322" s="14" t="inlineStr">
        <is>
          <t xml:space="preserve">Candidate</t>
        </is>
      </c>
      <c r="N322" s="14" t="inlineStr">
        <is>
          <t xml:space="preserve">Yes</t>
        </is>
      </c>
      <c r="O322" s="14" t="inlineStr">
        <is>
          <t xml:space="preserve">Active</t>
        </is>
      </c>
      <c r="P322" s="14"/>
    </row>
    <row r="323">
      <c r="A323" s="14" t="inlineStr">
        <is>
          <t xml:space="preserve">RR-0343</t>
        </is>
      </c>
      <c r="B323" s="14" t="inlineStr">
        <is>
          <t xml:space="preserve">Transactional Emails</t>
        </is>
      </c>
      <c r="C323" s="14" t="inlineStr">
        <is>
          <t xml:space="preserve">Product and billing emails</t>
        </is>
      </c>
      <c r="D323" s="14" t="inlineStr">
        <is>
          <t xml:space="preserve">Reliability</t>
        </is>
      </c>
      <c r="E323" s="14" t="inlineStr">
        <is>
          <t xml:space="preserve">A job retry occurs after provider timeout</t>
        </is>
      </c>
      <c r="F323" s="14" t="inlineStr">
        <is>
          <t xml:space="preserve">High</t>
        </is>
      </c>
      <c r="G323" s="14" t="inlineStr">
        <is>
          <t xml:space="preserve">Medium</t>
        </is>
      </c>
      <c r="H323" s="14" t="inlineStr">
        <is>
          <t xml:space="preserve">Beta</t>
        </is>
      </c>
      <c r="I323" s="14" t="inlineStr">
        <is>
          <t xml:space="preserve">Resend staging domain configured; test inboxes available.</t>
        </is>
      </c>
      <c r="J323" s="14" t="inlineStr">
        <is>
          <t xml:space="preserve">1. Prepare the stated preconditions and sign in with the required role.
2. Navigate to Product and billing emails.
3. Execute: A job retry occurs after provider timeout.
4. Refresh or reopen the relevant page and inspect persisted data.
5. Verify UI feedback, permissions, notifications and audit records where applicable.</t>
        </is>
      </c>
      <c r="K323" s="14" t="inlineStr">
        <is>
          <t xml:space="preserve">Valid, bounced, suppressed and duplicate delivery cases</t>
        </is>
      </c>
      <c r="L323" s="14" t="inlineStr">
        <is>
          <t xml:space="preserve">At-most-once visible email behaviour or safe idempotency is maintained.</t>
        </is>
      </c>
      <c r="M323" s="14" t="inlineStr">
        <is>
          <t xml:space="preserve">Candidate</t>
        </is>
      </c>
      <c r="N323" s="14" t="inlineStr">
        <is>
          <t xml:space="preserve">Yes</t>
        </is>
      </c>
      <c r="O323" s="14" t="inlineStr">
        <is>
          <t xml:space="preserve">Active</t>
        </is>
      </c>
      <c r="P323" s="14"/>
    </row>
    <row r="324">
      <c r="A324" s="14" t="inlineStr">
        <is>
          <t xml:space="preserve">RR-0344</t>
        </is>
      </c>
      <c r="B324" s="14" t="inlineStr">
        <is>
          <t xml:space="preserve">Transactional Emails</t>
        </is>
      </c>
      <c r="C324" s="14" t="inlineStr">
        <is>
          <t xml:space="preserve">Product and billing emails</t>
        </is>
      </c>
      <c r="D324" s="14" t="inlineStr">
        <is>
          <t xml:space="preserve">Security</t>
        </is>
      </c>
      <c r="E324" s="14" t="inlineStr">
        <is>
          <t xml:space="preserve">Production email is attempted from staging</t>
        </is>
      </c>
      <c r="F324" s="14" t="inlineStr">
        <is>
          <t xml:space="preserve">Critical</t>
        </is>
      </c>
      <c r="G324" s="14" t="inlineStr">
        <is>
          <t xml:space="preserve">Medium</t>
        </is>
      </c>
      <c r="H324" s="14" t="inlineStr">
        <is>
          <t xml:space="preserve">Beta</t>
        </is>
      </c>
      <c r="I324" s="14" t="inlineStr">
        <is>
          <t xml:space="preserve">Resend staging domain configured; test inboxes available.</t>
        </is>
      </c>
      <c r="J324" s="14" t="inlineStr">
        <is>
          <t xml:space="preserve">1. Prepare the stated preconditions and sign in with the required role.
2. Navigate to Product and billing emails.
3. Execute: Production email is attempted from staging.
4. Refresh or reopen the relevant page and inspect persisted data.
5. Verify UI feedback, permissions, notifications and audit records where applicable.</t>
        </is>
      </c>
      <c r="K324" s="14" t="inlineStr">
        <is>
          <t xml:space="preserve">Valid, bounced, suppressed and duplicate delivery cases</t>
        </is>
      </c>
      <c r="L324" s="14" t="inlineStr">
        <is>
          <t xml:space="preserve">Environment safeguards route to approved test recipients/domain.</t>
        </is>
      </c>
      <c r="M324" s="14" t="inlineStr">
        <is>
          <t xml:space="preserve">Candidate</t>
        </is>
      </c>
      <c r="N324" s="14" t="inlineStr">
        <is>
          <t xml:space="preserve">Yes</t>
        </is>
      </c>
      <c r="O324" s="14" t="inlineStr">
        <is>
          <t xml:space="preserve">Active</t>
        </is>
      </c>
      <c r="P324" s="14"/>
    </row>
    <row r="325">
      <c r="A325" s="14" t="inlineStr">
        <is>
          <t xml:space="preserve">RR-0345</t>
        </is>
      </c>
      <c r="B325" s="14" t="inlineStr">
        <is>
          <t xml:space="preserve">PWA, Push &amp; Offline</t>
        </is>
      </c>
      <c r="C325" s="14" t="inlineStr">
        <is>
          <t xml:space="preserve">Installation and app behaviour</t>
        </is>
      </c>
      <c r="D325" s="14" t="inlineStr">
        <is>
          <t xml:space="preserve">Compatibility</t>
        </is>
      </c>
      <c r="E325" s="14" t="inlineStr">
        <is>
          <t xml:space="preserve">Install PWA on supported Android Chrome</t>
        </is>
      </c>
      <c r="F325" s="14" t="inlineStr">
        <is>
          <t xml:space="preserve">Critical</t>
        </is>
      </c>
      <c r="G325" s="14" t="inlineStr">
        <is>
          <t xml:space="preserve">Medium</t>
        </is>
      </c>
      <c r="H325" s="14" t="inlineStr">
        <is>
          <t xml:space="preserve">Beta</t>
        </is>
      </c>
      <c r="I325" s="14" t="inlineStr">
        <is>
          <t xml:space="preserve">Installable staging PWA served over HTTPS; supported mobile test devices available.</t>
        </is>
      </c>
      <c r="J325" s="14" t="inlineStr">
        <is>
          <t xml:space="preserve">1. Prepare the stated preconditions and sign in with the required role.
2. Navigate to Installation and app behaviour.
3. Execute: Install PWA on supported Android Chrome.
4. Refresh or reopen the relevant page and inspect persisted data.
5. Verify UI feedback, permissions, notifications and audit records where applicable.</t>
        </is>
      </c>
      <c r="K325" s="14" t="inlineStr">
        <is>
          <t xml:space="preserve">iOS/Android installed and browser modes; poor/offline networks</t>
        </is>
      </c>
      <c r="L325" s="14" t="inlineStr">
        <is>
          <t xml:space="preserve">Correct name, RocketRota icon, theme colour and standalone launch are used.</t>
        </is>
      </c>
      <c r="M325" s="14" t="inlineStr">
        <is>
          <t xml:space="preserve">Candidate</t>
        </is>
      </c>
      <c r="N325" s="14" t="inlineStr">
        <is>
          <t xml:space="preserve">Yes</t>
        </is>
      </c>
      <c r="O325" s="14" t="inlineStr">
        <is>
          <t xml:space="preserve">Active</t>
        </is>
      </c>
      <c r="P325" s="14"/>
    </row>
    <row r="326">
      <c r="A326" s="14" t="inlineStr">
        <is>
          <t xml:space="preserve">RR-0346</t>
        </is>
      </c>
      <c r="B326" s="14" t="inlineStr">
        <is>
          <t xml:space="preserve">PWA, Push &amp; Offline</t>
        </is>
      </c>
      <c r="C326" s="14" t="inlineStr">
        <is>
          <t xml:space="preserve">Installation and app behaviour</t>
        </is>
      </c>
      <c r="D326" s="14" t="inlineStr">
        <is>
          <t xml:space="preserve">Compatibility</t>
        </is>
      </c>
      <c r="E326" s="14" t="inlineStr">
        <is>
          <t xml:space="preserve">Add PWA to iOS home screen</t>
        </is>
      </c>
      <c r="F326" s="14" t="inlineStr">
        <is>
          <t xml:space="preserve">Critical</t>
        </is>
      </c>
      <c r="G326" s="14" t="inlineStr">
        <is>
          <t xml:space="preserve">Medium</t>
        </is>
      </c>
      <c r="H326" s="14" t="inlineStr">
        <is>
          <t xml:space="preserve">Beta</t>
        </is>
      </c>
      <c r="I326" s="14" t="inlineStr">
        <is>
          <t xml:space="preserve">Installable staging PWA served over HTTPS; supported mobile test devices available.</t>
        </is>
      </c>
      <c r="J326" s="14" t="inlineStr">
        <is>
          <t xml:space="preserve">1. Prepare the stated preconditions and sign in with the required role.
2. Navigate to Installation and app behaviour.
3. Execute: Add PWA to iOS home screen.
4. Refresh or reopen the relevant page and inspect persisted data.
5. Verify UI feedback, permissions, notifications and audit records where applicable.</t>
        </is>
      </c>
      <c r="K326" s="14" t="inlineStr">
        <is>
          <t xml:space="preserve">iOS/Android installed and browser modes; poor/offline networks</t>
        </is>
      </c>
      <c r="L326" s="14" t="inlineStr">
        <is>
          <t xml:space="preserve">App launches standalone with correct icon/splash behaviour supported by iOS.</t>
        </is>
      </c>
      <c r="M326" s="14" t="inlineStr">
        <is>
          <t xml:space="preserve">Candidate</t>
        </is>
      </c>
      <c r="N326" s="14" t="inlineStr">
        <is>
          <t xml:space="preserve">Yes</t>
        </is>
      </c>
      <c r="O326" s="14" t="inlineStr">
        <is>
          <t xml:space="preserve">Active</t>
        </is>
      </c>
      <c r="P326" s="14"/>
    </row>
    <row r="327">
      <c r="A327" s="14" t="inlineStr">
        <is>
          <t xml:space="preserve">RR-0347</t>
        </is>
      </c>
      <c r="B327" s="14" t="inlineStr">
        <is>
          <t xml:space="preserve">PWA, Push &amp; Offline</t>
        </is>
      </c>
      <c r="C327" s="14" t="inlineStr">
        <is>
          <t xml:space="preserve">Installation and app behaviour</t>
        </is>
      </c>
      <c r="D327" s="14" t="inlineStr">
        <is>
          <t xml:space="preserve">Functional</t>
        </is>
      </c>
      <c r="E327" s="14" t="inlineStr">
        <is>
          <t xml:space="preserve">Launch installed PWA from a notification</t>
        </is>
      </c>
      <c r="F327" s="14" t="inlineStr">
        <is>
          <t xml:space="preserve">High</t>
        </is>
      </c>
      <c r="G327" s="14" t="inlineStr">
        <is>
          <t xml:space="preserve">Medium</t>
        </is>
      </c>
      <c r="H327" s="14" t="inlineStr">
        <is>
          <t xml:space="preserve">Beta</t>
        </is>
      </c>
      <c r="I327" s="14" t="inlineStr">
        <is>
          <t xml:space="preserve">Installable staging PWA served over HTTPS; supported mobile test devices available.</t>
        </is>
      </c>
      <c r="J327" s="14" t="inlineStr">
        <is>
          <t xml:space="preserve">1. Prepare the stated preconditions and sign in with the required role.
2. Navigate to Installation and app behaviour.
3. Execute: Launch installed PWA from a notification.
4. Refresh or reopen the relevant page and inspect persisted data.
5. Verify UI feedback, permissions, notifications and audit records where applicable.</t>
        </is>
      </c>
      <c r="K327" s="14" t="inlineStr">
        <is>
          <t xml:space="preserve">iOS/Android installed and browser modes; poor/offline networks</t>
        </is>
      </c>
      <c r="L327" s="14" t="inlineStr">
        <is>
          <t xml:space="preserve">The correct in-app route opens without duplicate windows where avoidable.</t>
        </is>
      </c>
      <c r="M327" s="14" t="inlineStr">
        <is>
          <t xml:space="preserve">Candidate</t>
        </is>
      </c>
      <c r="N327" s="14" t="inlineStr">
        <is>
          <t xml:space="preserve">Yes</t>
        </is>
      </c>
      <c r="O327" s="14" t="inlineStr">
        <is>
          <t xml:space="preserve">Active</t>
        </is>
      </c>
      <c r="P327" s="14"/>
    </row>
    <row r="328">
      <c r="A328" s="14" t="inlineStr">
        <is>
          <t xml:space="preserve">RR-0348</t>
        </is>
      </c>
      <c r="B328" s="14" t="inlineStr">
        <is>
          <t xml:space="preserve">PWA, Push &amp; Offline</t>
        </is>
      </c>
      <c r="C328" s="14" t="inlineStr">
        <is>
          <t xml:space="preserve">Installation and app behaviour</t>
        </is>
      </c>
      <c r="D328" s="14" t="inlineStr">
        <is>
          <t xml:space="preserve">Compatibility</t>
        </is>
      </c>
      <c r="E328" s="14" t="inlineStr">
        <is>
          <t xml:space="preserve">Open /clock from NFC when PWA is installed</t>
        </is>
      </c>
      <c r="F328" s="14" t="inlineStr">
        <is>
          <t xml:space="preserve">Critical</t>
        </is>
      </c>
      <c r="G328" s="14" t="inlineStr">
        <is>
          <t xml:space="preserve">Medium</t>
        </is>
      </c>
      <c r="H328" s="14" t="inlineStr">
        <is>
          <t xml:space="preserve">Beta</t>
        </is>
      </c>
      <c r="I328" s="14" t="inlineStr">
        <is>
          <t xml:space="preserve">Installable staging PWA served over HTTPS; supported mobile test devices available.</t>
        </is>
      </c>
      <c r="J328" s="14" t="inlineStr">
        <is>
          <t xml:space="preserve">1. Prepare the stated preconditions and sign in with the required role.
2. Navigate to Installation and app behaviour.
3. Execute: Open /clock from NFC when PWA is installed.
4. Refresh or reopen the relevant page and inspect persisted data.
5. Verify UI feedback, permissions, notifications and audit records where applicable.</t>
        </is>
      </c>
      <c r="K328" s="14" t="inlineStr">
        <is>
          <t xml:space="preserve">iOS/Android installed and browser modes; poor/offline networks</t>
        </is>
      </c>
      <c r="L328" s="14" t="inlineStr">
        <is>
          <t xml:space="preserve">Route opens in the appropriate browser/PWA context and remains functional.</t>
        </is>
      </c>
      <c r="M328" s="14" t="inlineStr">
        <is>
          <t xml:space="preserve">Candidate</t>
        </is>
      </c>
      <c r="N328" s="14" t="inlineStr">
        <is>
          <t xml:space="preserve">Yes</t>
        </is>
      </c>
      <c r="O328" s="14" t="inlineStr">
        <is>
          <t xml:space="preserve">Active</t>
        </is>
      </c>
      <c r="P328" s="14"/>
    </row>
    <row r="329">
      <c r="A329" s="14" t="inlineStr">
        <is>
          <t xml:space="preserve">RR-0349</t>
        </is>
      </c>
      <c r="B329" s="14" t="inlineStr">
        <is>
          <t xml:space="preserve">PWA, Push &amp; Offline</t>
        </is>
      </c>
      <c r="C329" s="14" t="inlineStr">
        <is>
          <t xml:space="preserve">Installation and app behaviour</t>
        </is>
      </c>
      <c r="D329" s="14" t="inlineStr">
        <is>
          <t xml:space="preserve">Reliability</t>
        </is>
      </c>
      <c r="E329" s="14" t="inlineStr">
        <is>
          <t xml:space="preserve">Update to a new service-worker version</t>
        </is>
      </c>
      <c r="F329" s="14" t="inlineStr">
        <is>
          <t xml:space="preserve">Critical</t>
        </is>
      </c>
      <c r="G329" s="14" t="inlineStr">
        <is>
          <t xml:space="preserve">Medium</t>
        </is>
      </c>
      <c r="H329" s="14" t="inlineStr">
        <is>
          <t xml:space="preserve">Beta</t>
        </is>
      </c>
      <c r="I329" s="14" t="inlineStr">
        <is>
          <t xml:space="preserve">Installable staging PWA served over HTTPS; supported mobile test devices available.</t>
        </is>
      </c>
      <c r="J329" s="14" t="inlineStr">
        <is>
          <t xml:space="preserve">1. Prepare the stated preconditions and sign in with the required role.
2. Navigate to Installation and app behaviour.
3. Execute: Update to a new service-worker version.
4. Refresh or reopen the relevant page and inspect persisted data.
5. Verify UI feedback, permissions, notifications and audit records where applicable.</t>
        </is>
      </c>
      <c r="K329" s="14" t="inlineStr">
        <is>
          <t xml:space="preserve">iOS/Android installed and browser modes; poor/offline networks</t>
        </is>
      </c>
      <c r="L329" s="14" t="inlineStr">
        <is>
          <t xml:space="preserve">New version activates safely and does not leave stale mixed assets.</t>
        </is>
      </c>
      <c r="M329" s="14" t="inlineStr">
        <is>
          <t xml:space="preserve">Candidate</t>
        </is>
      </c>
      <c r="N329" s="14" t="inlineStr">
        <is>
          <t xml:space="preserve">Yes</t>
        </is>
      </c>
      <c r="O329" s="14" t="inlineStr">
        <is>
          <t xml:space="preserve">Active</t>
        </is>
      </c>
      <c r="P329" s="14"/>
    </row>
    <row r="330">
      <c r="A330" s="14" t="inlineStr">
        <is>
          <t xml:space="preserve">RR-0350</t>
        </is>
      </c>
      <c r="B330" s="14" t="inlineStr">
        <is>
          <t xml:space="preserve">PWA, Push &amp; Offline</t>
        </is>
      </c>
      <c r="C330" s="14" t="inlineStr">
        <is>
          <t xml:space="preserve">Installation and app behaviour</t>
        </is>
      </c>
      <c r="D330" s="14" t="inlineStr">
        <is>
          <t xml:space="preserve">Recovery</t>
        </is>
      </c>
      <c r="E330" s="14" t="inlineStr">
        <is>
          <t xml:space="preserve">App manifest is unavailable</t>
        </is>
      </c>
      <c r="F330" s="14" t="inlineStr">
        <is>
          <t xml:space="preserve">High</t>
        </is>
      </c>
      <c r="G330" s="14" t="inlineStr">
        <is>
          <t xml:space="preserve">Medium</t>
        </is>
      </c>
      <c r="H330" s="14" t="inlineStr">
        <is>
          <t xml:space="preserve">Beta</t>
        </is>
      </c>
      <c r="I330" s="14" t="inlineStr">
        <is>
          <t xml:space="preserve">Installable staging PWA served over HTTPS; supported mobile test devices available.</t>
        </is>
      </c>
      <c r="J330" s="14" t="inlineStr">
        <is>
          <t xml:space="preserve">1. Prepare the stated preconditions and sign in with the required role.
2. Navigate to Installation and app behaviour.
3. Execute: App manifest is unavailable.
4. Refresh or reopen the relevant page and inspect persisted data.
5. Verify UI feedback, permissions, notifications and audit records where applicable.</t>
        </is>
      </c>
      <c r="K330" s="14" t="inlineStr">
        <is>
          <t xml:space="preserve">iOS/Android installed and browser modes; poor/offline networks</t>
        </is>
      </c>
      <c r="L330" s="14" t="inlineStr">
        <is>
          <t xml:space="preserve">Website remains usable and installation failure does not break core routes.</t>
        </is>
      </c>
      <c r="M330" s="14" t="inlineStr">
        <is>
          <t xml:space="preserve">Candidate</t>
        </is>
      </c>
      <c r="N330" s="14" t="inlineStr">
        <is>
          <t xml:space="preserve">Yes</t>
        </is>
      </c>
      <c r="O330" s="14" t="inlineStr">
        <is>
          <t xml:space="preserve">Active</t>
        </is>
      </c>
      <c r="P330" s="14"/>
    </row>
    <row r="331">
      <c r="A331" s="14" t="inlineStr">
        <is>
          <t xml:space="preserve">RR-0351</t>
        </is>
      </c>
      <c r="B331" s="14" t="inlineStr">
        <is>
          <t xml:space="preserve">PWA, Push &amp; Offline</t>
        </is>
      </c>
      <c r="C331" s="14" t="inlineStr">
        <is>
          <t xml:space="preserve">Installation and app behaviour</t>
        </is>
      </c>
      <c r="D331" s="14" t="inlineStr">
        <is>
          <t xml:space="preserve">Compatibility</t>
        </is>
      </c>
      <c r="E331" s="14" t="inlineStr">
        <is>
          <t xml:space="preserve">Home-screen icon is displayed</t>
        </is>
      </c>
      <c r="F331" s="14" t="inlineStr">
        <is>
          <t xml:space="preserve">Medium</t>
        </is>
      </c>
      <c r="G331" s="14" t="inlineStr">
        <is>
          <t xml:space="preserve">Medium</t>
        </is>
      </c>
      <c r="H331" s="14" t="inlineStr">
        <is>
          <t xml:space="preserve">Beta</t>
        </is>
      </c>
      <c r="I331" s="14" t="inlineStr">
        <is>
          <t xml:space="preserve">Installable staging PWA served over HTTPS; supported mobile test devices available.</t>
        </is>
      </c>
      <c r="J331" s="14" t="inlineStr">
        <is>
          <t xml:space="preserve">1. Prepare the stated preconditions and sign in with the required role.
2. Navigate to Installation and app behaviour.
3. Execute: Home-screen icon is displayed.
4. Refresh or reopen the relevant page and inspect persisted data.
5. Verify UI feedback, permissions, notifications and audit records where applicable.</t>
        </is>
      </c>
      <c r="K331" s="14" t="inlineStr">
        <is>
          <t xml:space="preserve">iOS/Android installed and browser modes; poor/offline networks</t>
        </is>
      </c>
      <c r="L331" s="14" t="inlineStr">
        <is>
          <t xml:space="preserve">Purpose/maskable icons render without clipping on common launchers.</t>
        </is>
      </c>
      <c r="M331" s="14" t="inlineStr">
        <is>
          <t xml:space="preserve">Candidate</t>
        </is>
      </c>
      <c r="N331" s="14" t="inlineStr">
        <is>
          <t xml:space="preserve">No</t>
        </is>
      </c>
      <c r="O331" s="14" t="inlineStr">
        <is>
          <t xml:space="preserve">Active</t>
        </is>
      </c>
      <c r="P331" s="14"/>
    </row>
    <row r="332">
      <c r="A332" s="14" t="inlineStr">
        <is>
          <t xml:space="preserve">RR-0352</t>
        </is>
      </c>
      <c r="B332" s="14" t="inlineStr">
        <is>
          <t xml:space="preserve">PWA, Push &amp; Offline</t>
        </is>
      </c>
      <c r="C332" s="14" t="inlineStr">
        <is>
          <t xml:space="preserve">Installation and app behaviour</t>
        </is>
      </c>
      <c r="D332" s="14" t="inlineStr">
        <is>
          <t xml:space="preserve">Usability</t>
        </is>
      </c>
      <c r="E332" s="14" t="inlineStr">
        <is>
          <t xml:space="preserve">Use browser back/forward inside standalone PWA</t>
        </is>
      </c>
      <c r="F332" s="14" t="inlineStr">
        <is>
          <t xml:space="preserve">Medium</t>
        </is>
      </c>
      <c r="G332" s="14" t="inlineStr">
        <is>
          <t xml:space="preserve">Medium</t>
        </is>
      </c>
      <c r="H332" s="14" t="inlineStr">
        <is>
          <t xml:space="preserve">Beta</t>
        </is>
      </c>
      <c r="I332" s="14" t="inlineStr">
        <is>
          <t xml:space="preserve">Installable staging PWA served over HTTPS; supported mobile test devices available.</t>
        </is>
      </c>
      <c r="J332" s="14" t="inlineStr">
        <is>
          <t xml:space="preserve">1. Prepare the stated preconditions and sign in with the required role.
2. Navigate to Installation and app behaviour.
3. Execute: Use browser back/forward inside standalone PWA.
4. Refresh or reopen the relevant page and inspect persisted data.
5. Verify UI feedback, permissions, notifications and audit records where applicable.</t>
        </is>
      </c>
      <c r="K332" s="14" t="inlineStr">
        <is>
          <t xml:space="preserve">iOS/Android installed and browser modes; poor/offline networks</t>
        </is>
      </c>
      <c r="L332" s="14" t="inlineStr">
        <is>
          <t xml:space="preserve">Navigation history behaves predictably without exiting unexpectedly.</t>
        </is>
      </c>
      <c r="M332" s="14" t="inlineStr">
        <is>
          <t xml:space="preserve">Candidate</t>
        </is>
      </c>
      <c r="N332" s="14" t="inlineStr">
        <is>
          <t xml:space="preserve">No</t>
        </is>
      </c>
      <c r="O332" s="14" t="inlineStr">
        <is>
          <t xml:space="preserve">Active</t>
        </is>
      </c>
      <c r="P332" s="14"/>
    </row>
    <row r="333">
      <c r="A333" s="14" t="inlineStr">
        <is>
          <t xml:space="preserve">RR-0353</t>
        </is>
      </c>
      <c r="B333" s="14" t="inlineStr">
        <is>
          <t xml:space="preserve">PWA, Push &amp; Offline</t>
        </is>
      </c>
      <c r="C333" s="14" t="inlineStr">
        <is>
          <t xml:space="preserve">Offline and poor connectivity</t>
        </is>
      </c>
      <c r="D333" s="14" t="inlineStr">
        <is>
          <t xml:space="preserve">Reliability</t>
        </is>
      </c>
      <c r="E333" s="14" t="inlineStr">
        <is>
          <t xml:space="preserve">Open the app while fully offline</t>
        </is>
      </c>
      <c r="F333" s="14" t="inlineStr">
        <is>
          <t xml:space="preserve">Critical</t>
        </is>
      </c>
      <c r="G333" s="14" t="inlineStr">
        <is>
          <t xml:space="preserve">Medium</t>
        </is>
      </c>
      <c r="H333" s="14" t="inlineStr">
        <is>
          <t xml:space="preserve">Beta</t>
        </is>
      </c>
      <c r="I333" s="14" t="inlineStr">
        <is>
          <t xml:space="preserve">Installable staging PWA served over HTTPS; supported mobile test devices available.</t>
        </is>
      </c>
      <c r="J333" s="14" t="inlineStr">
        <is>
          <t xml:space="preserve">1. Prepare the stated preconditions and sign in with the required role.
2. Navigate to Offline and poor connectivity.
3. Execute: Open the app while fully offline.
4. Refresh or reopen the relevant page and inspect persisted data.
5. Verify UI feedback, permissions, notifications and audit records where applicable.</t>
        </is>
      </c>
      <c r="K333" s="14" t="inlineStr">
        <is>
          <t xml:space="preserve">iOS/Android installed and browser modes; poor/offline networks</t>
        </is>
      </c>
      <c r="L333" s="14" t="inlineStr">
        <is>
          <t xml:space="preserve">A branded offline state appears and no stale action is presented as successful.</t>
        </is>
      </c>
      <c r="M333" s="14" t="inlineStr">
        <is>
          <t xml:space="preserve">Candidate</t>
        </is>
      </c>
      <c r="N333" s="14" t="inlineStr">
        <is>
          <t xml:space="preserve">Yes</t>
        </is>
      </c>
      <c r="O333" s="14" t="inlineStr">
        <is>
          <t xml:space="preserve">Active</t>
        </is>
      </c>
      <c r="P333" s="14"/>
    </row>
    <row r="334">
      <c r="A334" s="14" t="inlineStr">
        <is>
          <t xml:space="preserve">RR-0354</t>
        </is>
      </c>
      <c r="B334" s="14" t="inlineStr">
        <is>
          <t xml:space="preserve">PWA, Push &amp; Offline</t>
        </is>
      </c>
      <c r="C334" s="14" t="inlineStr">
        <is>
          <t xml:space="preserve">Offline and poor connectivity</t>
        </is>
      </c>
      <c r="D334" s="14" t="inlineStr">
        <is>
          <t xml:space="preserve">Recovery</t>
        </is>
      </c>
      <c r="E334" s="14" t="inlineStr">
        <is>
          <t xml:space="preserve">Lose connection while saving a rota</t>
        </is>
      </c>
      <c r="F334" s="14" t="inlineStr">
        <is>
          <t xml:space="preserve">Critical</t>
        </is>
      </c>
      <c r="G334" s="14" t="inlineStr">
        <is>
          <t xml:space="preserve">Medium</t>
        </is>
      </c>
      <c r="H334" s="14" t="inlineStr">
        <is>
          <t xml:space="preserve">Beta</t>
        </is>
      </c>
      <c r="I334" s="14" t="inlineStr">
        <is>
          <t xml:space="preserve">Installable staging PWA served over HTTPS; supported mobile test devices available.</t>
        </is>
      </c>
      <c r="J334" s="14" t="inlineStr">
        <is>
          <t xml:space="preserve">1. Prepare the stated preconditions and sign in with the required role.
2. Navigate to Offline and poor connectivity.
3. Execute: Lose connection while saving a rota.
4. Refresh or reopen the relevant page and inspect persisted data.
5. Verify UI feedback, permissions, notifications and audit records where applicable.</t>
        </is>
      </c>
      <c r="K334" s="14" t="inlineStr">
        <is>
          <t xml:space="preserve">iOS/Android installed and browser modes; poor/offline networks</t>
        </is>
      </c>
      <c r="L334" s="14" t="inlineStr">
        <is>
          <t xml:space="preserve">Save is not falsely confirmed; retry/reconciliation avoids duplicates.</t>
        </is>
      </c>
      <c r="M334" s="14" t="inlineStr">
        <is>
          <t xml:space="preserve">Candidate</t>
        </is>
      </c>
      <c r="N334" s="14" t="inlineStr">
        <is>
          <t xml:space="preserve">Yes</t>
        </is>
      </c>
      <c r="O334" s="14" t="inlineStr">
        <is>
          <t xml:space="preserve">Active</t>
        </is>
      </c>
      <c r="P334" s="14"/>
    </row>
    <row r="335">
      <c r="A335" s="14" t="inlineStr">
        <is>
          <t xml:space="preserve">RR-0355</t>
        </is>
      </c>
      <c r="B335" s="14" t="inlineStr">
        <is>
          <t xml:space="preserve">PWA, Push &amp; Offline</t>
        </is>
      </c>
      <c r="C335" s="14" t="inlineStr">
        <is>
          <t xml:space="preserve">Offline and poor connectivity</t>
        </is>
      </c>
      <c r="D335" s="14" t="inlineStr">
        <is>
          <t xml:space="preserve">Concurrency</t>
        </is>
      </c>
      <c r="E335" s="14" t="inlineStr">
        <is>
          <t xml:space="preserve">Lose connection after tapping clock-in but before response</t>
        </is>
      </c>
      <c r="F335" s="14" t="inlineStr">
        <is>
          <t xml:space="preserve">Critical</t>
        </is>
      </c>
      <c r="G335" s="14" t="inlineStr">
        <is>
          <t xml:space="preserve">Medium</t>
        </is>
      </c>
      <c r="H335" s="14" t="inlineStr">
        <is>
          <t xml:space="preserve">Beta</t>
        </is>
      </c>
      <c r="I335" s="14" t="inlineStr">
        <is>
          <t xml:space="preserve">Installable staging PWA served over HTTPS; supported mobile test devices available.</t>
        </is>
      </c>
      <c r="J335" s="14" t="inlineStr">
        <is>
          <t xml:space="preserve">1. Prepare the stated preconditions and sign in with the required role.
2. Navigate to Offline and poor connectivity.
3. Execute: Lose connection after tapping clock-in but before response.
4. Refresh or reopen the relevant page and inspect persisted data.
5. Verify UI feedback, permissions, notifications and audit records where applicable.</t>
        </is>
      </c>
      <c r="K335" s="14" t="inlineStr">
        <is>
          <t xml:space="preserve">iOS/Android installed and browser modes; poor/offline networks</t>
        </is>
      </c>
      <c r="L335" s="14" t="inlineStr">
        <is>
          <t xml:space="preserve">User sees an indeterminate/retry state and one authoritative clock event results.</t>
        </is>
      </c>
      <c r="M335" s="14" t="inlineStr">
        <is>
          <t xml:space="preserve">Candidate</t>
        </is>
      </c>
      <c r="N335" s="14" t="inlineStr">
        <is>
          <t xml:space="preserve">Yes</t>
        </is>
      </c>
      <c r="O335" s="14" t="inlineStr">
        <is>
          <t xml:space="preserve">Active</t>
        </is>
      </c>
      <c r="P335" s="14"/>
    </row>
    <row r="336">
      <c r="A336" s="14" t="inlineStr">
        <is>
          <t xml:space="preserve">RR-0356</t>
        </is>
      </c>
      <c r="B336" s="14" t="inlineStr">
        <is>
          <t xml:space="preserve">PWA, Push &amp; Offline</t>
        </is>
      </c>
      <c r="C336" s="14" t="inlineStr">
        <is>
          <t xml:space="preserve">Offline and poor connectivity</t>
        </is>
      </c>
      <c r="D336" s="14" t="inlineStr">
        <is>
          <t xml:space="preserve">Performance</t>
        </is>
      </c>
      <c r="E336" s="14" t="inlineStr">
        <is>
          <t xml:space="preserve">Connection is slow/high latency</t>
        </is>
      </c>
      <c r="F336" s="14" t="inlineStr">
        <is>
          <t xml:space="preserve">High</t>
        </is>
      </c>
      <c r="G336" s="14" t="inlineStr">
        <is>
          <t xml:space="preserve">Medium</t>
        </is>
      </c>
      <c r="H336" s="14" t="inlineStr">
        <is>
          <t xml:space="preserve">Beta</t>
        </is>
      </c>
      <c r="I336" s="14" t="inlineStr">
        <is>
          <t xml:space="preserve">Installable staging PWA served over HTTPS; supported mobile test devices available.</t>
        </is>
      </c>
      <c r="J336" s="14" t="inlineStr">
        <is>
          <t xml:space="preserve">1. Prepare the stated preconditions and sign in with the required role.
2. Navigate to Offline and poor connectivity.
3. Execute: Connection is slow/high latency.
4. Refresh or reopen the relevant page and inspect persisted data.
5. Verify UI feedback, permissions, notifications and audit records where applicable.</t>
        </is>
      </c>
      <c r="K336" s="14" t="inlineStr">
        <is>
          <t xml:space="preserve">iOS/Android installed and browser modes; poor/offline networks</t>
        </is>
      </c>
      <c r="L336" s="14" t="inlineStr">
        <is>
          <t xml:space="preserve">Loading and disabled states prevent duplicate actions and remain accessible.</t>
        </is>
      </c>
      <c r="M336" s="14" t="inlineStr">
        <is>
          <t xml:space="preserve">Candidate</t>
        </is>
      </c>
      <c r="N336" s="14" t="inlineStr">
        <is>
          <t xml:space="preserve">Yes</t>
        </is>
      </c>
      <c r="O336" s="14" t="inlineStr">
        <is>
          <t xml:space="preserve">Active</t>
        </is>
      </c>
      <c r="P336" s="14"/>
    </row>
    <row r="337">
      <c r="A337" s="14" t="inlineStr">
        <is>
          <t xml:space="preserve">RR-0357</t>
        </is>
      </c>
      <c r="B337" s="14" t="inlineStr">
        <is>
          <t xml:space="preserve">PWA, Push &amp; Offline</t>
        </is>
      </c>
      <c r="C337" s="14" t="inlineStr">
        <is>
          <t xml:space="preserve">Offline and poor connectivity</t>
        </is>
      </c>
      <c r="D337" s="14" t="inlineStr">
        <is>
          <t xml:space="preserve">Security</t>
        </is>
      </c>
      <c r="E337" s="14" t="inlineStr">
        <is>
          <t xml:space="preserve">Cached employee data belongs to a previous user</t>
        </is>
      </c>
      <c r="F337" s="14" t="inlineStr">
        <is>
          <t xml:space="preserve">Critical</t>
        </is>
      </c>
      <c r="G337" s="14" t="inlineStr">
        <is>
          <t xml:space="preserve">Medium</t>
        </is>
      </c>
      <c r="H337" s="14" t="inlineStr">
        <is>
          <t xml:space="preserve">Beta</t>
        </is>
      </c>
      <c r="I337" s="14" t="inlineStr">
        <is>
          <t xml:space="preserve">Installable staging PWA served over HTTPS; supported mobile test devices available.</t>
        </is>
      </c>
      <c r="J337" s="14" t="inlineStr">
        <is>
          <t xml:space="preserve">1. Prepare the stated preconditions and sign in with the required role.
2. Navigate to Offline and poor connectivity.
3. Execute: Cached employee data belongs to a previous user.
4. Refresh or reopen the relevant page and inspect persisted data.
5. Verify UI feedback, permissions, notifications and audit records where applicable.</t>
        </is>
      </c>
      <c r="K337" s="14" t="inlineStr">
        <is>
          <t xml:space="preserve">iOS/Android installed and browser modes; poor/offline networks</t>
        </is>
      </c>
      <c r="L337" s="14" t="inlineStr">
        <is>
          <t xml:space="preserve">Logout/account switch clears protected cached data.</t>
        </is>
      </c>
      <c r="M337" s="14" t="inlineStr">
        <is>
          <t xml:space="preserve">Candidate</t>
        </is>
      </c>
      <c r="N337" s="14" t="inlineStr">
        <is>
          <t xml:space="preserve">Yes</t>
        </is>
      </c>
      <c r="O337" s="14" t="inlineStr">
        <is>
          <t xml:space="preserve">Active</t>
        </is>
      </c>
      <c r="P337" s="14"/>
    </row>
    <row r="338">
      <c r="A338" s="14" t="inlineStr">
        <is>
          <t xml:space="preserve">RR-0358</t>
        </is>
      </c>
      <c r="B338" s="14" t="inlineStr">
        <is>
          <t xml:space="preserve">PWA, Push &amp; Offline</t>
        </is>
      </c>
      <c r="C338" s="14" t="inlineStr">
        <is>
          <t xml:space="preserve">Offline and poor connectivity</t>
        </is>
      </c>
      <c r="D338" s="14" t="inlineStr">
        <is>
          <t xml:space="preserve">Functional</t>
        </is>
      </c>
      <c r="E338" s="14" t="inlineStr">
        <is>
          <t xml:space="preserve">Return online after offline dashboard view</t>
        </is>
      </c>
      <c r="F338" s="14" t="inlineStr">
        <is>
          <t xml:space="preserve">High</t>
        </is>
      </c>
      <c r="G338" s="14" t="inlineStr">
        <is>
          <t xml:space="preserve">Medium</t>
        </is>
      </c>
      <c r="H338" s="14" t="inlineStr">
        <is>
          <t xml:space="preserve">Beta</t>
        </is>
      </c>
      <c r="I338" s="14" t="inlineStr">
        <is>
          <t xml:space="preserve">Installable staging PWA served over HTTPS; supported mobile test devices available.</t>
        </is>
      </c>
      <c r="J338" s="14" t="inlineStr">
        <is>
          <t xml:space="preserve">1. Prepare the stated preconditions and sign in with the required role.
2. Navigate to Offline and poor connectivity.
3. Execute: Return online after offline dashboard view.
4. Refresh or reopen the relevant page and inspect persisted data.
5. Verify UI feedback, permissions, notifications and audit records where applicable.</t>
        </is>
      </c>
      <c r="K338" s="14" t="inlineStr">
        <is>
          <t xml:space="preserve">iOS/Android installed and browser modes; poor/offline networks</t>
        </is>
      </c>
      <c r="L338" s="14" t="inlineStr">
        <is>
          <t xml:space="preserve">Data refreshes and stale indicators clear.</t>
        </is>
      </c>
      <c r="M338" s="14" t="inlineStr">
        <is>
          <t xml:space="preserve">Candidate</t>
        </is>
      </c>
      <c r="N338" s="14" t="inlineStr">
        <is>
          <t xml:space="preserve">Yes</t>
        </is>
      </c>
      <c r="O338" s="14" t="inlineStr">
        <is>
          <t xml:space="preserve">Active</t>
        </is>
      </c>
      <c r="P338" s="14"/>
    </row>
    <row r="339">
      <c r="A339" s="14" t="inlineStr">
        <is>
          <t xml:space="preserve">RR-0359</t>
        </is>
      </c>
      <c r="B339" s="14" t="inlineStr">
        <is>
          <t xml:space="preserve">PWA, Push &amp; Offline</t>
        </is>
      </c>
      <c r="C339" s="14" t="inlineStr">
        <is>
          <t xml:space="preserve">Push notifications</t>
        </is>
      </c>
      <c r="D339" s="14" t="inlineStr">
        <is>
          <t xml:space="preserve">Integration</t>
        </is>
      </c>
      <c r="E339" s="14" t="inlineStr">
        <is>
          <t xml:space="preserve">Grant push permission</t>
        </is>
      </c>
      <c r="F339" s="14" t="inlineStr">
        <is>
          <t xml:space="preserve">Critical</t>
        </is>
      </c>
      <c r="G339" s="14" t="inlineStr">
        <is>
          <t xml:space="preserve">Medium</t>
        </is>
      </c>
      <c r="H339" s="14" t="inlineStr">
        <is>
          <t xml:space="preserve">Beta</t>
        </is>
      </c>
      <c r="I339" s="14" t="inlineStr">
        <is>
          <t xml:space="preserve">Installable staging PWA served over HTTPS; supported mobile test devices available.</t>
        </is>
      </c>
      <c r="J339" s="14" t="inlineStr">
        <is>
          <t xml:space="preserve">1. Prepare the stated preconditions and sign in with the required role.
2. Navigate to Push notifications.
3. Execute: Grant push permission.
4. Refresh or reopen the relevant page and inspect persisted data.
5. Verify UI feedback, permissions, notifications and audit records where applicable.</t>
        </is>
      </c>
      <c r="K339" s="14" t="inlineStr">
        <is>
          <t xml:space="preserve">iOS/Android installed and browser modes; poor/offline networks</t>
        </is>
      </c>
      <c r="L339" s="14" t="inlineStr">
        <is>
          <t xml:space="preserve">Subscription is registered to the correct user/device and stored securely.</t>
        </is>
      </c>
      <c r="M339" s="14" t="inlineStr">
        <is>
          <t xml:space="preserve">Candidate</t>
        </is>
      </c>
      <c r="N339" s="14" t="inlineStr">
        <is>
          <t xml:space="preserve">Yes</t>
        </is>
      </c>
      <c r="O339" s="14" t="inlineStr">
        <is>
          <t xml:space="preserve">Active</t>
        </is>
      </c>
      <c r="P339" s="14"/>
    </row>
    <row r="340">
      <c r="A340" s="14" t="inlineStr">
        <is>
          <t xml:space="preserve">RR-0360</t>
        </is>
      </c>
      <c r="B340" s="14" t="inlineStr">
        <is>
          <t xml:space="preserve">PWA, Push &amp; Offline</t>
        </is>
      </c>
      <c r="C340" s="14" t="inlineStr">
        <is>
          <t xml:space="preserve">Push notifications</t>
        </is>
      </c>
      <c r="D340" s="14" t="inlineStr">
        <is>
          <t xml:space="preserve">Usability</t>
        </is>
      </c>
      <c r="E340" s="14" t="inlineStr">
        <is>
          <t xml:space="preserve">Deny push permission</t>
        </is>
      </c>
      <c r="F340" s="14" t="inlineStr">
        <is>
          <t xml:space="preserve">High</t>
        </is>
      </c>
      <c r="G340" s="14" t="inlineStr">
        <is>
          <t xml:space="preserve">Medium</t>
        </is>
      </c>
      <c r="H340" s="14" t="inlineStr">
        <is>
          <t xml:space="preserve">Beta</t>
        </is>
      </c>
      <c r="I340" s="14" t="inlineStr">
        <is>
          <t xml:space="preserve">Installable staging PWA served over HTTPS; supported mobile test devices available.</t>
        </is>
      </c>
      <c r="J340" s="14" t="inlineStr">
        <is>
          <t xml:space="preserve">1. Prepare the stated preconditions and sign in with the required role.
2. Navigate to Push notifications.
3. Execute: Deny push permission.
4. Refresh or reopen the relevant page and inspect persisted data.
5. Verify UI feedback, permissions, notifications and audit records where applicable.</t>
        </is>
      </c>
      <c r="K340" s="14" t="inlineStr">
        <is>
          <t xml:space="preserve">iOS/Android installed and browser modes; poor/offline networks</t>
        </is>
      </c>
      <c r="L340" s="14" t="inlineStr">
        <is>
          <t xml:space="preserve">App remains usable and does not repeatedly harass the user.</t>
        </is>
      </c>
      <c r="M340" s="14" t="inlineStr">
        <is>
          <t xml:space="preserve">Candidate</t>
        </is>
      </c>
      <c r="N340" s="14" t="inlineStr">
        <is>
          <t xml:space="preserve">Yes</t>
        </is>
      </c>
      <c r="O340" s="14" t="inlineStr">
        <is>
          <t xml:space="preserve">Active</t>
        </is>
      </c>
      <c r="P340" s="14"/>
    </row>
    <row r="341">
      <c r="A341" s="14" t="inlineStr">
        <is>
          <t xml:space="preserve">RR-0361</t>
        </is>
      </c>
      <c r="B341" s="14" t="inlineStr">
        <is>
          <t xml:space="preserve">PWA, Push &amp; Offline</t>
        </is>
      </c>
      <c r="C341" s="14" t="inlineStr">
        <is>
          <t xml:space="preserve">Push notifications</t>
        </is>
      </c>
      <c r="D341" s="14" t="inlineStr">
        <is>
          <t xml:space="preserve">Reliability</t>
        </is>
      </c>
      <c r="E341" s="14" t="inlineStr">
        <is>
          <t xml:space="preserve">Revoke permission in OS settings</t>
        </is>
      </c>
      <c r="F341" s="14" t="inlineStr">
        <is>
          <t xml:space="preserve">High</t>
        </is>
      </c>
      <c r="G341" s="14" t="inlineStr">
        <is>
          <t xml:space="preserve">Medium</t>
        </is>
      </c>
      <c r="H341" s="14" t="inlineStr">
        <is>
          <t xml:space="preserve">Beta</t>
        </is>
      </c>
      <c r="I341" s="14" t="inlineStr">
        <is>
          <t xml:space="preserve">Installable staging PWA served over HTTPS; supported mobile test devices available.</t>
        </is>
      </c>
      <c r="J341" s="14" t="inlineStr">
        <is>
          <t xml:space="preserve">1. Prepare the stated preconditions and sign in with the required role.
2. Navigate to Push notifications.
3. Execute: Revoke permission in OS settings.
4. Refresh or reopen the relevant page and inspect persisted data.
5. Verify UI feedback, permissions, notifications and audit records where applicable.</t>
        </is>
      </c>
      <c r="K341" s="14" t="inlineStr">
        <is>
          <t xml:space="preserve">iOS/Android installed and browser modes; poor/offline networks</t>
        </is>
      </c>
      <c r="L341" s="14" t="inlineStr">
        <is>
          <t xml:space="preserve">Invalid subscription is handled and email/fallback policy continues.</t>
        </is>
      </c>
      <c r="M341" s="14" t="inlineStr">
        <is>
          <t xml:space="preserve">Candidate</t>
        </is>
      </c>
      <c r="N341" s="14" t="inlineStr">
        <is>
          <t xml:space="preserve">Yes</t>
        </is>
      </c>
      <c r="O341" s="14" t="inlineStr">
        <is>
          <t xml:space="preserve">Active</t>
        </is>
      </c>
      <c r="P341" s="14"/>
    </row>
    <row r="342">
      <c r="A342" s="14" t="inlineStr">
        <is>
          <t xml:space="preserve">RR-0362</t>
        </is>
      </c>
      <c r="B342" s="14" t="inlineStr">
        <is>
          <t xml:space="preserve">PWA, Push &amp; Offline</t>
        </is>
      </c>
      <c r="C342" s="14" t="inlineStr">
        <is>
          <t xml:space="preserve">Push notifications</t>
        </is>
      </c>
      <c r="D342" s="14" t="inlineStr">
        <is>
          <t xml:space="preserve">Functional</t>
        </is>
      </c>
      <c r="E342" s="14" t="inlineStr">
        <is>
          <t xml:space="preserve">Receive push while app is foregrounded</t>
        </is>
      </c>
      <c r="F342" s="14" t="inlineStr">
        <is>
          <t xml:space="preserve">High</t>
        </is>
      </c>
      <c r="G342" s="14" t="inlineStr">
        <is>
          <t xml:space="preserve">Medium</t>
        </is>
      </c>
      <c r="H342" s="14" t="inlineStr">
        <is>
          <t xml:space="preserve">Beta</t>
        </is>
      </c>
      <c r="I342" s="14" t="inlineStr">
        <is>
          <t xml:space="preserve">Installable staging PWA served over HTTPS; supported mobile test devices available.</t>
        </is>
      </c>
      <c r="J342" s="14" t="inlineStr">
        <is>
          <t xml:space="preserve">1. Prepare the stated preconditions and sign in with the required role.
2. Navigate to Push notifications.
3. Execute: Receive push while app is foregrounded.
4. Refresh or reopen the relevant page and inspect persisted data.
5. Verify UI feedback, permissions, notifications and audit records where applicable.</t>
        </is>
      </c>
      <c r="K342" s="14" t="inlineStr">
        <is>
          <t xml:space="preserve">iOS/Android installed and browser modes; poor/offline networks</t>
        </is>
      </c>
      <c r="L342" s="14" t="inlineStr">
        <is>
          <t xml:space="preserve">Notification/in-app update follows product policy without duplication.</t>
        </is>
      </c>
      <c r="M342" s="14" t="inlineStr">
        <is>
          <t xml:space="preserve">Candidate</t>
        </is>
      </c>
      <c r="N342" s="14" t="inlineStr">
        <is>
          <t xml:space="preserve">Yes</t>
        </is>
      </c>
      <c r="O342" s="14" t="inlineStr">
        <is>
          <t xml:space="preserve">Active</t>
        </is>
      </c>
      <c r="P342" s="14"/>
    </row>
    <row r="343">
      <c r="A343" s="14" t="inlineStr">
        <is>
          <t xml:space="preserve">RR-0363</t>
        </is>
      </c>
      <c r="B343" s="14" t="inlineStr">
        <is>
          <t xml:space="preserve">PWA, Push &amp; Offline</t>
        </is>
      </c>
      <c r="C343" s="14" t="inlineStr">
        <is>
          <t xml:space="preserve">Push notifications</t>
        </is>
      </c>
      <c r="D343" s="14" t="inlineStr">
        <is>
          <t xml:space="preserve">Functional</t>
        </is>
      </c>
      <c r="E343" s="14" t="inlineStr">
        <is>
          <t xml:space="preserve">Receive push while app is closed</t>
        </is>
      </c>
      <c r="F343" s="14" t="inlineStr">
        <is>
          <t xml:space="preserve">Critical</t>
        </is>
      </c>
      <c r="G343" s="14" t="inlineStr">
        <is>
          <t xml:space="preserve">Medium</t>
        </is>
      </c>
      <c r="H343" s="14" t="inlineStr">
        <is>
          <t xml:space="preserve">Beta</t>
        </is>
      </c>
      <c r="I343" s="14" t="inlineStr">
        <is>
          <t xml:space="preserve">Installable staging PWA served over HTTPS; supported mobile test devices available.</t>
        </is>
      </c>
      <c r="J343" s="14" t="inlineStr">
        <is>
          <t xml:space="preserve">1. Prepare the stated preconditions and sign in with the required role.
2. Navigate to Push notifications.
3. Execute: Receive push while app is closed.
4. Refresh or reopen the relevant page and inspect persisted data.
5. Verify UI feedback, permissions, notifications and audit records where applicable.</t>
        </is>
      </c>
      <c r="K343" s="14" t="inlineStr">
        <is>
          <t xml:space="preserve">iOS/Android installed and browser modes; poor/offline networks</t>
        </is>
      </c>
      <c r="L343" s="14" t="inlineStr">
        <is>
          <t xml:space="preserve">Notification displays correct title/body and safe deep link.</t>
        </is>
      </c>
      <c r="M343" s="14" t="inlineStr">
        <is>
          <t xml:space="preserve">Candidate</t>
        </is>
      </c>
      <c r="N343" s="14" t="inlineStr">
        <is>
          <t xml:space="preserve">Yes</t>
        </is>
      </c>
      <c r="O343" s="14" t="inlineStr">
        <is>
          <t xml:space="preserve">Active</t>
        </is>
      </c>
      <c r="P343" s="14"/>
    </row>
    <row r="344">
      <c r="A344" s="14" t="inlineStr">
        <is>
          <t xml:space="preserve">RR-0364</t>
        </is>
      </c>
      <c r="B344" s="14" t="inlineStr">
        <is>
          <t xml:space="preserve">PWA, Push &amp; Offline</t>
        </is>
      </c>
      <c r="C344" s="14" t="inlineStr">
        <is>
          <t xml:space="preserve">Push notifications</t>
        </is>
      </c>
      <c r="D344" s="14" t="inlineStr">
        <is>
          <t xml:space="preserve">Security</t>
        </is>
      </c>
      <c r="E344" s="14" t="inlineStr">
        <is>
          <t xml:space="preserve">Tap push for a location no longer accessible</t>
        </is>
      </c>
      <c r="F344" s="14" t="inlineStr">
        <is>
          <t xml:space="preserve">Critical</t>
        </is>
      </c>
      <c r="G344" s="14" t="inlineStr">
        <is>
          <t xml:space="preserve">Medium</t>
        </is>
      </c>
      <c r="H344" s="14" t="inlineStr">
        <is>
          <t xml:space="preserve">Beta</t>
        </is>
      </c>
      <c r="I344" s="14" t="inlineStr">
        <is>
          <t xml:space="preserve">Installable staging PWA served over HTTPS; supported mobile test devices available.</t>
        </is>
      </c>
      <c r="J344" s="14" t="inlineStr">
        <is>
          <t xml:space="preserve">1. Prepare the stated preconditions and sign in with the required role.
2. Navigate to Push notifications.
3. Execute: Tap push for a location no longer accessible.
4. Refresh or reopen the relevant page and inspect persisted data.
5. Verify UI feedback, permissions, notifications and audit records where applicable.</t>
        </is>
      </c>
      <c r="K344" s="14" t="inlineStr">
        <is>
          <t xml:space="preserve">iOS/Android installed and browser modes; poor/offline networks</t>
        </is>
      </c>
      <c r="L344" s="14" t="inlineStr">
        <is>
          <t xml:space="preserve">App denies access safely after authentication/authorisation checks.</t>
        </is>
      </c>
      <c r="M344" s="14" t="inlineStr">
        <is>
          <t xml:space="preserve">Candidate</t>
        </is>
      </c>
      <c r="N344" s="14" t="inlineStr">
        <is>
          <t xml:space="preserve">Yes</t>
        </is>
      </c>
      <c r="O344" s="14" t="inlineStr">
        <is>
          <t xml:space="preserve">Active</t>
        </is>
      </c>
      <c r="P344" s="14"/>
    </row>
    <row r="345">
      <c r="A345" s="14" t="inlineStr">
        <is>
          <t xml:space="preserve">RR-0365</t>
        </is>
      </c>
      <c r="B345" s="14" t="inlineStr">
        <is>
          <t xml:space="preserve">PWA, Push &amp; Offline</t>
        </is>
      </c>
      <c r="C345" s="14" t="inlineStr">
        <is>
          <t xml:space="preserve">Push notifications</t>
        </is>
      </c>
      <c r="D345" s="14" t="inlineStr">
        <is>
          <t xml:space="preserve">Reliability</t>
        </is>
      </c>
      <c r="E345" s="14" t="inlineStr">
        <is>
          <t xml:space="preserve">Push token expires or provider returns invalid token</t>
        </is>
      </c>
      <c r="F345" s="14" t="inlineStr">
        <is>
          <t xml:space="preserve">High</t>
        </is>
      </c>
      <c r="G345" s="14" t="inlineStr">
        <is>
          <t xml:space="preserve">Medium</t>
        </is>
      </c>
      <c r="H345" s="14" t="inlineStr">
        <is>
          <t xml:space="preserve">Beta</t>
        </is>
      </c>
      <c r="I345" s="14" t="inlineStr">
        <is>
          <t xml:space="preserve">Installable staging PWA served over HTTPS; supported mobile test devices available.</t>
        </is>
      </c>
      <c r="J345" s="14" t="inlineStr">
        <is>
          <t xml:space="preserve">1. Prepare the stated preconditions and sign in with the required role.
2. Navigate to Push notifications.
3. Execute: Push token expires or provider returns invalid token.
4. Refresh or reopen the relevant page and inspect persisted data.
5. Verify UI feedback, permissions, notifications and audit records where applicable.</t>
        </is>
      </c>
      <c r="K345" s="14" t="inlineStr">
        <is>
          <t xml:space="preserve">iOS/Android installed and browser modes; poor/offline networks</t>
        </is>
      </c>
      <c r="L345" s="14" t="inlineStr">
        <is>
          <t xml:space="preserve">Subscription is cleaned up without blocking other devices.</t>
        </is>
      </c>
      <c r="M345" s="14" t="inlineStr">
        <is>
          <t xml:space="preserve">Candidate</t>
        </is>
      </c>
      <c r="N345" s="14" t="inlineStr">
        <is>
          <t xml:space="preserve">Yes</t>
        </is>
      </c>
      <c r="O345" s="14" t="inlineStr">
        <is>
          <t xml:space="preserve">Active</t>
        </is>
      </c>
      <c r="P345" s="14"/>
    </row>
    <row r="346">
      <c r="A346" s="14" t="inlineStr">
        <is>
          <t xml:space="preserve">RR-0366</t>
        </is>
      </c>
      <c r="B346" s="14" t="inlineStr">
        <is>
          <t xml:space="preserve">PWA, Push &amp; Offline</t>
        </is>
      </c>
      <c r="C346" s="14" t="inlineStr">
        <is>
          <t xml:space="preserve">Push notifications</t>
        </is>
      </c>
      <c r="D346" s="14" t="inlineStr">
        <is>
          <t xml:space="preserve">Functional</t>
        </is>
      </c>
      <c r="E346" s="14" t="inlineStr">
        <is>
          <t xml:space="preserve">User has multiple devices</t>
        </is>
      </c>
      <c r="F346" s="14" t="inlineStr">
        <is>
          <t xml:space="preserve">High</t>
        </is>
      </c>
      <c r="G346" s="14" t="inlineStr">
        <is>
          <t xml:space="preserve">Medium</t>
        </is>
      </c>
      <c r="H346" s="14" t="inlineStr">
        <is>
          <t xml:space="preserve">Beta</t>
        </is>
      </c>
      <c r="I346" s="14" t="inlineStr">
        <is>
          <t xml:space="preserve">Installable staging PWA served over HTTPS; supported mobile test devices available.</t>
        </is>
      </c>
      <c r="J346" s="14" t="inlineStr">
        <is>
          <t xml:space="preserve">1. Prepare the stated preconditions and sign in with the required role.
2. Navigate to Push notifications.
3. Execute: User has multiple devices.
4. Refresh or reopen the relevant page and inspect persisted data.
5. Verify UI feedback, permissions, notifications and audit records where applicable.</t>
        </is>
      </c>
      <c r="K346" s="14" t="inlineStr">
        <is>
          <t xml:space="preserve">iOS/Android installed and browser modes; poor/offline networks</t>
        </is>
      </c>
      <c r="L346" s="14" t="inlineStr">
        <is>
          <t xml:space="preserve">Each active subscribed device receives one notification and can be revoked independently.</t>
        </is>
      </c>
      <c r="M346" s="14" t="inlineStr">
        <is>
          <t xml:space="preserve">Candidate</t>
        </is>
      </c>
      <c r="N346" s="14" t="inlineStr">
        <is>
          <t xml:space="preserve">Yes</t>
        </is>
      </c>
      <c r="O346" s="14" t="inlineStr">
        <is>
          <t xml:space="preserve">Active</t>
        </is>
      </c>
      <c r="P346" s="14"/>
    </row>
    <row r="347">
      <c r="A347" s="14" t="inlineStr">
        <is>
          <t xml:space="preserve">RR-0367</t>
        </is>
      </c>
      <c r="B347" s="14" t="inlineStr">
        <is>
          <t xml:space="preserve">Admin Console &amp; Support</t>
        </is>
      </c>
      <c r="C347" s="14" t="inlineStr">
        <is>
          <t xml:space="preserve">Customer and support operations</t>
        </is>
      </c>
      <c r="D347" s="14" t="inlineStr">
        <is>
          <t xml:space="preserve">Functional</t>
        </is>
      </c>
      <c r="E347" s="14" t="inlineStr">
        <is>
          <t xml:space="preserve">List organisations with search and filters</t>
        </is>
      </c>
      <c r="F347" s="14" t="inlineStr">
        <is>
          <t xml:space="preserve">Critical</t>
        </is>
      </c>
      <c r="G347" s="14" t="inlineStr">
        <is>
          <t xml:space="preserve">Medium</t>
        </is>
      </c>
      <c r="H347" s="14" t="inlineStr">
        <is>
          <t xml:space="preserve">Beta</t>
        </is>
      </c>
      <c r="I347" s="14" t="inlineStr">
        <is>
          <t xml:space="preserve">Authorised RocketRota support/admin account and seeded customer records.</t>
        </is>
      </c>
      <c r="J347" s="14" t="inlineStr">
        <is>
          <t xml:space="preserve">1. Prepare the stated preconditions and sign in with the required role.
2. Navigate to Customer and support operations.
3. Execute: List organisations with search and filters.
4. Refresh or reopen the relevant page and inspect persisted data.
5. Verify UI feedback, permissions, notifications and audit records where applicable.</t>
        </is>
      </c>
      <c r="K347" s="14" t="inlineStr">
        <is>
          <t xml:space="preserve">Customers with errors, feature flags and support cases</t>
        </is>
      </c>
      <c r="L347" s="14" t="inlineStr">
        <is>
          <t xml:space="preserve">Results are complete, paginated and restricted to authorised support users.</t>
        </is>
      </c>
      <c r="M347" s="14" t="inlineStr">
        <is>
          <t xml:space="preserve">Candidate</t>
        </is>
      </c>
      <c r="N347" s="14" t="inlineStr">
        <is>
          <t xml:space="preserve">Yes</t>
        </is>
      </c>
      <c r="O347" s="14" t="inlineStr">
        <is>
          <t xml:space="preserve">Active</t>
        </is>
      </c>
      <c r="P347" s="14"/>
    </row>
    <row r="348">
      <c r="A348" s="14" t="inlineStr">
        <is>
          <t xml:space="preserve">RR-0368</t>
        </is>
      </c>
      <c r="B348" s="14" t="inlineStr">
        <is>
          <t xml:space="preserve">Admin Console &amp; Support</t>
        </is>
      </c>
      <c r="C348" s="14" t="inlineStr">
        <is>
          <t xml:space="preserve">Customer and support operations</t>
        </is>
      </c>
      <c r="D348" s="14" t="inlineStr">
        <is>
          <t xml:space="preserve">Functional</t>
        </is>
      </c>
      <c r="E348" s="14" t="inlineStr">
        <is>
          <t xml:space="preserve">Open customer overview</t>
        </is>
      </c>
      <c r="F348" s="14" t="inlineStr">
        <is>
          <t xml:space="preserve">High</t>
        </is>
      </c>
      <c r="G348" s="14" t="inlineStr">
        <is>
          <t xml:space="preserve">Medium</t>
        </is>
      </c>
      <c r="H348" s="14" t="inlineStr">
        <is>
          <t xml:space="preserve">Beta</t>
        </is>
      </c>
      <c r="I348" s="14" t="inlineStr">
        <is>
          <t xml:space="preserve">Authorised RocketRota support/admin account and seeded customer records.</t>
        </is>
      </c>
      <c r="J348" s="14" t="inlineStr">
        <is>
          <t xml:space="preserve">1. Prepare the stated preconditions and sign in with the required role.
2. Navigate to Customer and support operations.
3. Execute: Open customer overview.
4. Refresh or reopen the relevant page and inspect persisted data.
5. Verify UI feedback, permissions, notifications and audit records where applicable.</t>
        </is>
      </c>
      <c r="K348" s="14" t="inlineStr">
        <is>
          <t xml:space="preserve">Customers with errors, feature flags and support cases</t>
        </is>
      </c>
      <c r="L348" s="14" t="inlineStr">
        <is>
          <t xml:space="preserve">Plan, locations, employees, subscription and health data are accurate.</t>
        </is>
      </c>
      <c r="M348" s="14" t="inlineStr">
        <is>
          <t xml:space="preserve">Candidate</t>
        </is>
      </c>
      <c r="N348" s="14" t="inlineStr">
        <is>
          <t xml:space="preserve">Yes</t>
        </is>
      </c>
      <c r="O348" s="14" t="inlineStr">
        <is>
          <t xml:space="preserve">Active</t>
        </is>
      </c>
      <c r="P348" s="14"/>
    </row>
    <row r="349">
      <c r="A349" s="14" t="inlineStr">
        <is>
          <t xml:space="preserve">RR-0369</t>
        </is>
      </c>
      <c r="B349" s="14" t="inlineStr">
        <is>
          <t xml:space="preserve">Admin Console &amp; Support</t>
        </is>
      </c>
      <c r="C349" s="14" t="inlineStr">
        <is>
          <t xml:space="preserve">Customer and support operations</t>
        </is>
      </c>
      <c r="D349" s="14" t="inlineStr">
        <is>
          <t xml:space="preserve">Functional</t>
        </is>
      </c>
      <c r="E349" s="14" t="inlineStr">
        <is>
          <t xml:space="preserve">View a customer's recent errors</t>
        </is>
      </c>
      <c r="F349" s="14" t="inlineStr">
        <is>
          <t xml:space="preserve">High</t>
        </is>
      </c>
      <c r="G349" s="14" t="inlineStr">
        <is>
          <t xml:space="preserve">Medium</t>
        </is>
      </c>
      <c r="H349" s="14" t="inlineStr">
        <is>
          <t xml:space="preserve">Beta</t>
        </is>
      </c>
      <c r="I349" s="14" t="inlineStr">
        <is>
          <t xml:space="preserve">Authorised RocketRota support/admin account and seeded customer records.</t>
        </is>
      </c>
      <c r="J349" s="14" t="inlineStr">
        <is>
          <t xml:space="preserve">1. Prepare the stated preconditions and sign in with the required role.
2. Navigate to Customer and support operations.
3. Execute: View a customer's recent errors.
4. Refresh or reopen the relevant page and inspect persisted data.
5. Verify UI feedback, permissions, notifications and audit records where applicable.</t>
        </is>
      </c>
      <c r="K349" s="14" t="inlineStr">
        <is>
          <t xml:space="preserve">Customers with errors, feature flags and support cases</t>
        </is>
      </c>
      <c r="L349" s="14" t="inlineStr">
        <is>
          <t xml:space="preserve">Errors are grouped with timestamps, release and correlation context.</t>
        </is>
      </c>
      <c r="M349" s="14" t="inlineStr">
        <is>
          <t xml:space="preserve">Candidate</t>
        </is>
      </c>
      <c r="N349" s="14" t="inlineStr">
        <is>
          <t xml:space="preserve">Yes</t>
        </is>
      </c>
      <c r="O349" s="14" t="inlineStr">
        <is>
          <t xml:space="preserve">Active</t>
        </is>
      </c>
      <c r="P349" s="14"/>
    </row>
    <row r="350">
      <c r="A350" s="14" t="inlineStr">
        <is>
          <t xml:space="preserve">RR-0370</t>
        </is>
      </c>
      <c r="B350" s="14" t="inlineStr">
        <is>
          <t xml:space="preserve">Admin Console &amp; Support</t>
        </is>
      </c>
      <c r="C350" s="14" t="inlineStr">
        <is>
          <t xml:space="preserve">Customer and support operations</t>
        </is>
      </c>
      <c r="D350" s="14" t="inlineStr">
        <is>
          <t xml:space="preserve">Functional</t>
        </is>
      </c>
      <c r="E350" s="14" t="inlineStr">
        <is>
          <t xml:space="preserve">Resend a failed invitation</t>
        </is>
      </c>
      <c r="F350" s="14" t="inlineStr">
        <is>
          <t xml:space="preserve">High</t>
        </is>
      </c>
      <c r="G350" s="14" t="inlineStr">
        <is>
          <t xml:space="preserve">Medium</t>
        </is>
      </c>
      <c r="H350" s="14" t="inlineStr">
        <is>
          <t xml:space="preserve">Beta</t>
        </is>
      </c>
      <c r="I350" s="14" t="inlineStr">
        <is>
          <t xml:space="preserve">Authorised RocketRota support/admin account and seeded customer records.</t>
        </is>
      </c>
      <c r="J350" s="14" t="inlineStr">
        <is>
          <t xml:space="preserve">1. Prepare the stated preconditions and sign in with the required role.
2. Navigate to Customer and support operations.
3. Execute: Resend a failed invitation.
4. Refresh or reopen the relevant page and inspect persisted data.
5. Verify UI feedback, permissions, notifications and audit records where applicable.</t>
        </is>
      </c>
      <c r="K350" s="14" t="inlineStr">
        <is>
          <t xml:space="preserve">Customers with errors, feature flags and support cases</t>
        </is>
      </c>
      <c r="L350" s="14" t="inlineStr">
        <is>
          <t xml:space="preserve">New invitation is sent according to expiry/revocation policy and action is audited.</t>
        </is>
      </c>
      <c r="M350" s="14" t="inlineStr">
        <is>
          <t xml:space="preserve">Candidate</t>
        </is>
      </c>
      <c r="N350" s="14" t="inlineStr">
        <is>
          <t xml:space="preserve">Yes</t>
        </is>
      </c>
      <c r="O350" s="14" t="inlineStr">
        <is>
          <t xml:space="preserve">Active</t>
        </is>
      </c>
      <c r="P350" s="14"/>
    </row>
    <row r="351">
      <c r="A351" s="14" t="inlineStr">
        <is>
          <t xml:space="preserve">RR-0371</t>
        </is>
      </c>
      <c r="B351" s="14" t="inlineStr">
        <is>
          <t xml:space="preserve">Admin Console &amp; Support</t>
        </is>
      </c>
      <c r="C351" s="14" t="inlineStr">
        <is>
          <t xml:space="preserve">Customer and support operations</t>
        </is>
      </c>
      <c r="D351" s="14" t="inlineStr">
        <is>
          <t xml:space="preserve">Functional</t>
        </is>
      </c>
      <c r="E351" s="14" t="inlineStr">
        <is>
          <t xml:space="preserve">Trigger a supported transactional email manually</t>
        </is>
      </c>
      <c r="F351" s="14" t="inlineStr">
        <is>
          <t xml:space="preserve">High</t>
        </is>
      </c>
      <c r="G351" s="14" t="inlineStr">
        <is>
          <t xml:space="preserve">Medium</t>
        </is>
      </c>
      <c r="H351" s="14" t="inlineStr">
        <is>
          <t xml:space="preserve">Beta</t>
        </is>
      </c>
      <c r="I351" s="14" t="inlineStr">
        <is>
          <t xml:space="preserve">Authorised RocketRota support/admin account and seeded customer records.</t>
        </is>
      </c>
      <c r="J351" s="14" t="inlineStr">
        <is>
          <t xml:space="preserve">1. Prepare the stated preconditions and sign in with the required role.
2. Navigate to Customer and support operations.
3. Execute: Trigger a supported transactional email manually.
4. Refresh or reopen the relevant page and inspect persisted data.
5. Verify UI feedback, permissions, notifications and audit records where applicable.</t>
        </is>
      </c>
      <c r="K351" s="14" t="inlineStr">
        <is>
          <t xml:space="preserve">Customers with errors, feature flags and support cases</t>
        </is>
      </c>
      <c r="L351" s="14" t="inlineStr">
        <is>
          <t xml:space="preserve">Confirmation prevents mistakes and recipient/template/environment are explicit.</t>
        </is>
      </c>
      <c r="M351" s="14" t="inlineStr">
        <is>
          <t xml:space="preserve">Candidate</t>
        </is>
      </c>
      <c r="N351" s="14" t="inlineStr">
        <is>
          <t xml:space="preserve">Yes</t>
        </is>
      </c>
      <c r="O351" s="14" t="inlineStr">
        <is>
          <t xml:space="preserve">Active</t>
        </is>
      </c>
      <c r="P351" s="14"/>
    </row>
    <row r="352">
      <c r="A352" s="14" t="inlineStr">
        <is>
          <t xml:space="preserve">RR-0372</t>
        </is>
      </c>
      <c r="B352" s="14" t="inlineStr">
        <is>
          <t xml:space="preserve">Admin Console &amp; Support</t>
        </is>
      </c>
      <c r="C352" s="14" t="inlineStr">
        <is>
          <t xml:space="preserve">Customer and support operations</t>
        </is>
      </c>
      <c r="D352" s="14" t="inlineStr">
        <is>
          <t xml:space="preserve">Security</t>
        </is>
      </c>
      <c r="E352" s="14" t="inlineStr">
        <is>
          <t xml:space="preserve">Apply an approved account override</t>
        </is>
      </c>
      <c r="F352" s="14" t="inlineStr">
        <is>
          <t xml:space="preserve">Critical</t>
        </is>
      </c>
      <c r="G352" s="14" t="inlineStr">
        <is>
          <t xml:space="preserve">Medium</t>
        </is>
      </c>
      <c r="H352" s="14" t="inlineStr">
        <is>
          <t xml:space="preserve">Beta</t>
        </is>
      </c>
      <c r="I352" s="14" t="inlineStr">
        <is>
          <t xml:space="preserve">Authorised RocketRota support/admin account and seeded customer records.</t>
        </is>
      </c>
      <c r="J352" s="14" t="inlineStr">
        <is>
          <t xml:space="preserve">1. Prepare the stated preconditions and sign in with the required role.
2. Navigate to Customer and support operations.
3. Execute: Apply an approved account override.
4. Refresh or reopen the relevant page and inspect persisted data.
5. Verify UI feedback, permissions, notifications and audit records where applicable.</t>
        </is>
      </c>
      <c r="K352" s="14" t="inlineStr">
        <is>
          <t xml:space="preserve">Customers with errors, feature flags and support cases</t>
        </is>
      </c>
      <c r="L352" s="14" t="inlineStr">
        <is>
          <t xml:space="preserve">Override is scoped, expiring where appropriate and audited.</t>
        </is>
      </c>
      <c r="M352" s="14" t="inlineStr">
        <is>
          <t xml:space="preserve">Candidate</t>
        </is>
      </c>
      <c r="N352" s="14" t="inlineStr">
        <is>
          <t xml:space="preserve">Yes</t>
        </is>
      </c>
      <c r="O352" s="14" t="inlineStr">
        <is>
          <t xml:space="preserve">Active</t>
        </is>
      </c>
      <c r="P352" s="14"/>
    </row>
    <row r="353">
      <c r="A353" s="14" t="inlineStr">
        <is>
          <t xml:space="preserve">RR-0373</t>
        </is>
      </c>
      <c r="B353" s="14" t="inlineStr">
        <is>
          <t xml:space="preserve">Admin Console &amp; Support</t>
        </is>
      </c>
      <c r="C353" s="14" t="inlineStr">
        <is>
          <t xml:space="preserve">Customer and support operations</t>
        </is>
      </c>
      <c r="D353" s="14" t="inlineStr">
        <is>
          <t xml:space="preserve">Security</t>
        </is>
      </c>
      <c r="E353" s="14" t="inlineStr">
        <is>
          <t xml:space="preserve">Impersonate an organisation owner</t>
        </is>
      </c>
      <c r="F353" s="14" t="inlineStr">
        <is>
          <t xml:space="preserve">Critical</t>
        </is>
      </c>
      <c r="G353" s="14" t="inlineStr">
        <is>
          <t xml:space="preserve">Medium</t>
        </is>
      </c>
      <c r="H353" s="14" t="inlineStr">
        <is>
          <t xml:space="preserve">Beta</t>
        </is>
      </c>
      <c r="I353" s="14" t="inlineStr">
        <is>
          <t xml:space="preserve">Authorised RocketRota support/admin account and seeded customer records.</t>
        </is>
      </c>
      <c r="J353" s="14" t="inlineStr">
        <is>
          <t xml:space="preserve">1. Prepare the stated preconditions and sign in with the required role.
2. Navigate to Customer and support operations.
3. Execute: Impersonate an organisation owner.
4. Refresh or reopen the relevant page and inspect persisted data.
5. Verify UI feedback, permissions, notifications and audit records where applicable.</t>
        </is>
      </c>
      <c r="K353" s="14" t="inlineStr">
        <is>
          <t xml:space="preserve">Customers with errors, feature flags and support cases</t>
        </is>
      </c>
      <c r="L353" s="14" t="inlineStr">
        <is>
          <t xml:space="preserve">Banner, timeout, action restrictions and audit record work.</t>
        </is>
      </c>
      <c r="M353" s="14" t="inlineStr">
        <is>
          <t xml:space="preserve">Candidate</t>
        </is>
      </c>
      <c r="N353" s="14" t="inlineStr">
        <is>
          <t xml:space="preserve">Yes</t>
        </is>
      </c>
      <c r="O353" s="14" t="inlineStr">
        <is>
          <t xml:space="preserve">Active</t>
        </is>
      </c>
      <c r="P353" s="14"/>
    </row>
    <row r="354">
      <c r="A354" s="14" t="inlineStr">
        <is>
          <t xml:space="preserve">RR-0374</t>
        </is>
      </c>
      <c r="B354" s="14" t="inlineStr">
        <is>
          <t xml:space="preserve">Admin Console &amp; Support</t>
        </is>
      </c>
      <c r="C354" s="14" t="inlineStr">
        <is>
          <t xml:space="preserve">Customer and support operations</t>
        </is>
      </c>
      <c r="D354" s="14" t="inlineStr">
        <is>
          <t xml:space="preserve">Security</t>
        </is>
      </c>
      <c r="E354" s="14" t="inlineStr">
        <is>
          <t xml:space="preserve">Exit impersonation</t>
        </is>
      </c>
      <c r="F354" s="14" t="inlineStr">
        <is>
          <t xml:space="preserve">Critical</t>
        </is>
      </c>
      <c r="G354" s="14" t="inlineStr">
        <is>
          <t xml:space="preserve">Medium</t>
        </is>
      </c>
      <c r="H354" s="14" t="inlineStr">
        <is>
          <t xml:space="preserve">Beta</t>
        </is>
      </c>
      <c r="I354" s="14" t="inlineStr">
        <is>
          <t xml:space="preserve">Authorised RocketRota support/admin account and seeded customer records.</t>
        </is>
      </c>
      <c r="J354" s="14" t="inlineStr">
        <is>
          <t xml:space="preserve">1. Prepare the stated preconditions and sign in with the required role.
2. Navigate to Customer and support operations.
3. Execute: Exit impersonation.
4. Refresh or reopen the relevant page and inspect persisted data.
5. Verify UI feedback, permissions, notifications and audit records where applicable.</t>
        </is>
      </c>
      <c r="K354" s="14" t="inlineStr">
        <is>
          <t xml:space="preserve">Customers with errors, feature flags and support cases</t>
        </is>
      </c>
      <c r="L354" s="14" t="inlineStr">
        <is>
          <t xml:space="preserve">Support session returns without retaining customer context/permissions.</t>
        </is>
      </c>
      <c r="M354" s="14" t="inlineStr">
        <is>
          <t xml:space="preserve">Candidate</t>
        </is>
      </c>
      <c r="N354" s="14" t="inlineStr">
        <is>
          <t xml:space="preserve">Yes</t>
        </is>
      </c>
      <c r="O354" s="14" t="inlineStr">
        <is>
          <t xml:space="preserve">Active</t>
        </is>
      </c>
      <c r="P354" s="14"/>
    </row>
    <row r="355">
      <c r="A355" s="14" t="inlineStr">
        <is>
          <t xml:space="preserve">RR-0375</t>
        </is>
      </c>
      <c r="B355" s="14" t="inlineStr">
        <is>
          <t xml:space="preserve">Admin Console &amp; Support</t>
        </is>
      </c>
      <c r="C355" s="14" t="inlineStr">
        <is>
          <t xml:space="preserve">Customer and support operations</t>
        </is>
      </c>
      <c r="D355" s="14" t="inlineStr">
        <is>
          <t xml:space="preserve">Functional</t>
        </is>
      </c>
      <c r="E355" s="14" t="inlineStr">
        <is>
          <t xml:space="preserve">Search by station identifier</t>
        </is>
      </c>
      <c r="F355" s="14" t="inlineStr">
        <is>
          <t xml:space="preserve">High</t>
        </is>
      </c>
      <c r="G355" s="14" t="inlineStr">
        <is>
          <t xml:space="preserve">Medium</t>
        </is>
      </c>
      <c r="H355" s="14" t="inlineStr">
        <is>
          <t xml:space="preserve">Beta</t>
        </is>
      </c>
      <c r="I355" s="14" t="inlineStr">
        <is>
          <t xml:space="preserve">Authorised RocketRota support/admin account and seeded customer records.</t>
        </is>
      </c>
      <c r="J355" s="14" t="inlineStr">
        <is>
          <t xml:space="preserve">1. Prepare the stated preconditions and sign in with the required role.
2. Navigate to Customer and support operations.
3. Execute: Search by station identifier.
4. Refresh or reopen the relevant page and inspect persisted data.
5. Verify UI feedback, permissions, notifications and audit records where applicable.</t>
        </is>
      </c>
      <c r="K355" s="14" t="inlineStr">
        <is>
          <t xml:space="preserve">Customers with errors, feature flags and support cases</t>
        </is>
      </c>
      <c r="L355" s="14" t="inlineStr">
        <is>
          <t xml:space="preserve">Correct station, organisation and location are shown without exposing keys.</t>
        </is>
      </c>
      <c r="M355" s="14" t="inlineStr">
        <is>
          <t xml:space="preserve">Candidate</t>
        </is>
      </c>
      <c r="N355" s="14" t="inlineStr">
        <is>
          <t xml:space="preserve">Yes</t>
        </is>
      </c>
      <c r="O355" s="14" t="inlineStr">
        <is>
          <t xml:space="preserve">Active</t>
        </is>
      </c>
      <c r="P355" s="14"/>
    </row>
    <row r="356">
      <c r="A356" s="14" t="inlineStr">
        <is>
          <t xml:space="preserve">RR-0376</t>
        </is>
      </c>
      <c r="B356" s="14" t="inlineStr">
        <is>
          <t xml:space="preserve">Admin Console &amp; Support</t>
        </is>
      </c>
      <c r="C356" s="14" t="inlineStr">
        <is>
          <t xml:space="preserve">Customer and support operations</t>
        </is>
      </c>
      <c r="D356" s="14" t="inlineStr">
        <is>
          <t xml:space="preserve">Security</t>
        </is>
      </c>
      <c r="E356" s="14" t="inlineStr">
        <is>
          <t xml:space="preserve">View clock-in validation failures</t>
        </is>
      </c>
      <c r="F356" s="14" t="inlineStr">
        <is>
          <t xml:space="preserve">Critical</t>
        </is>
      </c>
      <c r="G356" s="14" t="inlineStr">
        <is>
          <t xml:space="preserve">Medium</t>
        </is>
      </c>
      <c r="H356" s="14" t="inlineStr">
        <is>
          <t xml:space="preserve">Beta</t>
        </is>
      </c>
      <c r="I356" s="14" t="inlineStr">
        <is>
          <t xml:space="preserve">Authorised RocketRota support/admin account and seeded customer records.</t>
        </is>
      </c>
      <c r="J356" s="14" t="inlineStr">
        <is>
          <t xml:space="preserve">1. Prepare the stated preconditions and sign in with the required role.
2. Navigate to Customer and support operations.
3. Execute: View clock-in validation failures.
4. Refresh or reopen the relevant page and inspect persisted data.
5. Verify UI feedback, permissions, notifications and audit records where applicable.</t>
        </is>
      </c>
      <c r="K356" s="14" t="inlineStr">
        <is>
          <t xml:space="preserve">Customers with errors, feature flags and support cases</t>
        </is>
      </c>
      <c r="L356" s="14" t="inlineStr">
        <is>
          <t xml:space="preserve">Failure reason is diagnostic but cryptographic secrets are never displayed.</t>
        </is>
      </c>
      <c r="M356" s="14" t="inlineStr">
        <is>
          <t xml:space="preserve">Candidate</t>
        </is>
      </c>
      <c r="N356" s="14" t="inlineStr">
        <is>
          <t xml:space="preserve">Yes</t>
        </is>
      </c>
      <c r="O356" s="14" t="inlineStr">
        <is>
          <t xml:space="preserve">Active</t>
        </is>
      </c>
      <c r="P356" s="14"/>
    </row>
    <row r="357">
      <c r="A357" s="14" t="inlineStr">
        <is>
          <t xml:space="preserve">RR-0377</t>
        </is>
      </c>
      <c r="B357" s="14" t="inlineStr">
        <is>
          <t xml:space="preserve">Admin Console &amp; Support</t>
        </is>
      </c>
      <c r="C357" s="14" t="inlineStr">
        <is>
          <t xml:space="preserve">Feature flags, issues and auditing</t>
        </is>
      </c>
      <c r="D357" s="14" t="inlineStr">
        <is>
          <t xml:space="preserve">Functional</t>
        </is>
      </c>
      <c r="E357" s="14" t="inlineStr">
        <is>
          <t xml:space="preserve">Enable a feature flag for one organisation</t>
        </is>
      </c>
      <c r="F357" s="14" t="inlineStr">
        <is>
          <t xml:space="preserve">Critical</t>
        </is>
      </c>
      <c r="G357" s="14" t="inlineStr">
        <is>
          <t xml:space="preserve">Medium</t>
        </is>
      </c>
      <c r="H357" s="14" t="inlineStr">
        <is>
          <t xml:space="preserve">Beta</t>
        </is>
      </c>
      <c r="I357" s="14" t="inlineStr">
        <is>
          <t xml:space="preserve">Authorised RocketRota support/admin account and seeded customer records.</t>
        </is>
      </c>
      <c r="J357" s="14" t="inlineStr">
        <is>
          <t xml:space="preserve">1. Prepare the stated preconditions and sign in with the required role.
2. Navigate to Feature flags, issues and auditing.
3. Execute: Enable a feature flag for one organisation.
4. Refresh or reopen the relevant page and inspect persisted data.
5. Verify UI feedback, permissions, notifications and audit records where applicable.</t>
        </is>
      </c>
      <c r="K357" s="14" t="inlineStr">
        <is>
          <t xml:space="preserve">Customers with errors, feature flags and support cases</t>
        </is>
      </c>
      <c r="L357" s="14" t="inlineStr">
        <is>
          <t xml:space="preserve">Only the targeted organisation receives the feature.</t>
        </is>
      </c>
      <c r="M357" s="14" t="inlineStr">
        <is>
          <t xml:space="preserve">Candidate</t>
        </is>
      </c>
      <c r="N357" s="14" t="inlineStr">
        <is>
          <t xml:space="preserve">Yes</t>
        </is>
      </c>
      <c r="O357" s="14" t="inlineStr">
        <is>
          <t xml:space="preserve">Active</t>
        </is>
      </c>
      <c r="P357" s="14"/>
    </row>
    <row r="358">
      <c r="A358" s="14" t="inlineStr">
        <is>
          <t xml:space="preserve">RR-0378</t>
        </is>
      </c>
      <c r="B358" s="14" t="inlineStr">
        <is>
          <t xml:space="preserve">Admin Console &amp; Support</t>
        </is>
      </c>
      <c r="C358" s="14" t="inlineStr">
        <is>
          <t xml:space="preserve">Feature flags, issues and auditing</t>
        </is>
      </c>
      <c r="D358" s="14" t="inlineStr">
        <is>
          <t xml:space="preserve">Functional</t>
        </is>
      </c>
      <c r="E358" s="14" t="inlineStr">
        <is>
          <t xml:space="preserve">Disable a feature flag</t>
        </is>
      </c>
      <c r="F358" s="14" t="inlineStr">
        <is>
          <t xml:space="preserve">High</t>
        </is>
      </c>
      <c r="G358" s="14" t="inlineStr">
        <is>
          <t xml:space="preserve">Medium</t>
        </is>
      </c>
      <c r="H358" s="14" t="inlineStr">
        <is>
          <t xml:space="preserve">Beta</t>
        </is>
      </c>
      <c r="I358" s="14" t="inlineStr">
        <is>
          <t xml:space="preserve">Authorised RocketRota support/admin account and seeded customer records.</t>
        </is>
      </c>
      <c r="J358" s="14" t="inlineStr">
        <is>
          <t xml:space="preserve">1. Prepare the stated preconditions and sign in with the required role.
2. Navigate to Feature flags, issues and auditing.
3. Execute: Disable a feature flag.
4. Refresh or reopen the relevant page and inspect persisted data.
5. Verify UI feedback, permissions, notifications and audit records where applicable.</t>
        </is>
      </c>
      <c r="K358" s="14" t="inlineStr">
        <is>
          <t xml:space="preserve">Customers with errors, feature flags and support cases</t>
        </is>
      </c>
      <c r="L358" s="14" t="inlineStr">
        <is>
          <t xml:space="preserve">Feature becomes unavailable without corrupting existing related data.</t>
        </is>
      </c>
      <c r="M358" s="14" t="inlineStr">
        <is>
          <t xml:space="preserve">Candidate</t>
        </is>
      </c>
      <c r="N358" s="14" t="inlineStr">
        <is>
          <t xml:space="preserve">Yes</t>
        </is>
      </c>
      <c r="O358" s="14" t="inlineStr">
        <is>
          <t xml:space="preserve">Active</t>
        </is>
      </c>
      <c r="P358" s="14"/>
    </row>
    <row r="359">
      <c r="A359" s="14" t="inlineStr">
        <is>
          <t xml:space="preserve">RR-0379</t>
        </is>
      </c>
      <c r="B359" s="14" t="inlineStr">
        <is>
          <t xml:space="preserve">Admin Console &amp; Support</t>
        </is>
      </c>
      <c r="C359" s="14" t="inlineStr">
        <is>
          <t xml:space="preserve">Feature flags, issues and auditing</t>
        </is>
      </c>
      <c r="D359" s="14" t="inlineStr">
        <is>
          <t xml:space="preserve">Functional</t>
        </is>
      </c>
      <c r="E359" s="14" t="inlineStr">
        <is>
          <t xml:space="preserve">Set a percentage/global rollout</t>
        </is>
      </c>
      <c r="F359" s="14" t="inlineStr">
        <is>
          <t xml:space="preserve">High</t>
        </is>
      </c>
      <c r="G359" s="14" t="inlineStr">
        <is>
          <t xml:space="preserve">Medium</t>
        </is>
      </c>
      <c r="H359" s="14" t="inlineStr">
        <is>
          <t xml:space="preserve">Beta</t>
        </is>
      </c>
      <c r="I359" s="14" t="inlineStr">
        <is>
          <t xml:space="preserve">Authorised RocketRota support/admin account and seeded customer records.</t>
        </is>
      </c>
      <c r="J359" s="14" t="inlineStr">
        <is>
          <t xml:space="preserve">1. Prepare the stated preconditions and sign in with the required role.
2. Navigate to Feature flags, issues and auditing.
3. Execute: Set a percentage/global rollout.
4. Refresh or reopen the relevant page and inspect persisted data.
5. Verify UI feedback, permissions, notifications and audit records where applicable.</t>
        </is>
      </c>
      <c r="K359" s="14" t="inlineStr">
        <is>
          <t xml:space="preserve">Customers with errors, feature flags and support cases</t>
        </is>
      </c>
      <c r="L359" s="14" t="inlineStr">
        <is>
          <t xml:space="preserve">Evaluation is deterministic and visible in audit/configuration.</t>
        </is>
      </c>
      <c r="M359" s="14" t="inlineStr">
        <is>
          <t xml:space="preserve">Candidate</t>
        </is>
      </c>
      <c r="N359" s="14" t="inlineStr">
        <is>
          <t xml:space="preserve">Yes</t>
        </is>
      </c>
      <c r="O359" s="14" t="inlineStr">
        <is>
          <t xml:space="preserve">Active</t>
        </is>
      </c>
      <c r="P359" s="14"/>
    </row>
    <row r="360">
      <c r="A360" s="14" t="inlineStr">
        <is>
          <t xml:space="preserve">RR-0380</t>
        </is>
      </c>
      <c r="B360" s="14" t="inlineStr">
        <is>
          <t xml:space="preserve">Admin Console &amp; Support</t>
        </is>
      </c>
      <c r="C360" s="14" t="inlineStr">
        <is>
          <t xml:space="preserve">Feature flags, issues and auditing</t>
        </is>
      </c>
      <c r="D360" s="14" t="inlineStr">
        <is>
          <t xml:space="preserve">Security</t>
        </is>
      </c>
      <c r="E360" s="14" t="inlineStr">
        <is>
          <t xml:space="preserve">Unauthorised support role changes a feature flag</t>
        </is>
      </c>
      <c r="F360" s="14" t="inlineStr">
        <is>
          <t xml:space="preserve">Critical</t>
        </is>
      </c>
      <c r="G360" s="14" t="inlineStr">
        <is>
          <t xml:space="preserve">Medium</t>
        </is>
      </c>
      <c r="H360" s="14" t="inlineStr">
        <is>
          <t xml:space="preserve">Beta</t>
        </is>
      </c>
      <c r="I360" s="14" t="inlineStr">
        <is>
          <t xml:space="preserve">Authorised RocketRota support/admin account and seeded customer records.</t>
        </is>
      </c>
      <c r="J360" s="14" t="inlineStr">
        <is>
          <t xml:space="preserve">1. Prepare the stated preconditions and sign in with the required role.
2. Navigate to Feature flags, issues and auditing.
3. Execute: Unauthorised support role changes a feature flag.
4. Refresh or reopen the relevant page and inspect persisted data.
5. Verify UI feedback, permissions, notifications and audit records where applicable.</t>
        </is>
      </c>
      <c r="K360" s="14" t="inlineStr">
        <is>
          <t xml:space="preserve">Customers with errors, feature flags and support cases</t>
        </is>
      </c>
      <c r="L360" s="14" t="inlineStr">
        <is>
          <t xml:space="preserve">Action is denied server-side.</t>
        </is>
      </c>
      <c r="M360" s="14" t="inlineStr">
        <is>
          <t xml:space="preserve">Candidate</t>
        </is>
      </c>
      <c r="N360" s="14" t="inlineStr">
        <is>
          <t xml:space="preserve">Yes</t>
        </is>
      </c>
      <c r="O360" s="14" t="inlineStr">
        <is>
          <t xml:space="preserve">Active</t>
        </is>
      </c>
      <c r="P360" s="14"/>
    </row>
    <row r="361">
      <c r="A361" s="14" t="inlineStr">
        <is>
          <t xml:space="preserve">RR-0381</t>
        </is>
      </c>
      <c r="B361" s="14" t="inlineStr">
        <is>
          <t xml:space="preserve">Admin Console &amp; Support</t>
        </is>
      </c>
      <c r="C361" s="14" t="inlineStr">
        <is>
          <t xml:space="preserve">Feature flags, issues and auditing</t>
        </is>
      </c>
      <c r="D361" s="14" t="inlineStr">
        <is>
          <t xml:space="preserve">Functional</t>
        </is>
      </c>
      <c r="E361" s="14" t="inlineStr">
        <is>
          <t xml:space="preserve">Create an issue linked to customer/error</t>
        </is>
      </c>
      <c r="F361" s="14" t="inlineStr">
        <is>
          <t xml:space="preserve">Medium</t>
        </is>
      </c>
      <c r="G361" s="14" t="inlineStr">
        <is>
          <t xml:space="preserve">Medium</t>
        </is>
      </c>
      <c r="H361" s="14" t="inlineStr">
        <is>
          <t xml:space="preserve">Beta</t>
        </is>
      </c>
      <c r="I361" s="14" t="inlineStr">
        <is>
          <t xml:space="preserve">Authorised RocketRota support/admin account and seeded customer records.</t>
        </is>
      </c>
      <c r="J361" s="14" t="inlineStr">
        <is>
          <t xml:space="preserve">1. Prepare the stated preconditions and sign in with the required role.
2. Navigate to Feature flags, issues and auditing.
3. Execute: Create an issue linked to customer/error.
4. Refresh or reopen the relevant page and inspect persisted data.
5. Verify UI feedback, permissions, notifications and audit records where applicable.</t>
        </is>
      </c>
      <c r="K361" s="14" t="inlineStr">
        <is>
          <t xml:space="preserve">Customers with errors, feature flags and support cases</t>
        </is>
      </c>
      <c r="L361" s="14" t="inlineStr">
        <is>
          <t xml:space="preserve">Issue stores customer, severity, status and supporting context.</t>
        </is>
      </c>
      <c r="M361" s="14" t="inlineStr">
        <is>
          <t xml:space="preserve">Candidate</t>
        </is>
      </c>
      <c r="N361" s="14" t="inlineStr">
        <is>
          <t xml:space="preserve">No</t>
        </is>
      </c>
      <c r="O361" s="14" t="inlineStr">
        <is>
          <t xml:space="preserve">Active</t>
        </is>
      </c>
      <c r="P361" s="14"/>
    </row>
    <row r="362">
      <c r="A362" s="14" t="inlineStr">
        <is>
          <t xml:space="preserve">RR-0382</t>
        </is>
      </c>
      <c r="B362" s="14" t="inlineStr">
        <is>
          <t xml:space="preserve">Admin Console &amp; Support</t>
        </is>
      </c>
      <c r="C362" s="14" t="inlineStr">
        <is>
          <t xml:space="preserve">Feature flags, issues and auditing</t>
        </is>
      </c>
      <c r="D362" s="14" t="inlineStr">
        <is>
          <t xml:space="preserve">Functional</t>
        </is>
      </c>
      <c r="E362" s="14" t="inlineStr">
        <is>
          <t xml:space="preserve">Update issue status and owner</t>
        </is>
      </c>
      <c r="F362" s="14" t="inlineStr">
        <is>
          <t xml:space="preserve">Medium</t>
        </is>
      </c>
      <c r="G362" s="14" t="inlineStr">
        <is>
          <t xml:space="preserve">Medium</t>
        </is>
      </c>
      <c r="H362" s="14" t="inlineStr">
        <is>
          <t xml:space="preserve">Beta</t>
        </is>
      </c>
      <c r="I362" s="14" t="inlineStr">
        <is>
          <t xml:space="preserve">Authorised RocketRota support/admin account and seeded customer records.</t>
        </is>
      </c>
      <c r="J362" s="14" t="inlineStr">
        <is>
          <t xml:space="preserve">1. Prepare the stated preconditions and sign in with the required role.
2. Navigate to Feature flags, issues and auditing.
3. Execute: Update issue status and owner.
4. Refresh or reopen the relevant page and inspect persisted data.
5. Verify UI feedback, permissions, notifications and audit records where applicable.</t>
        </is>
      </c>
      <c r="K362" s="14" t="inlineStr">
        <is>
          <t xml:space="preserve">Customers with errors, feature flags and support cases</t>
        </is>
      </c>
      <c r="L362" s="14" t="inlineStr">
        <is>
          <t xml:space="preserve">Change persists and history records who changed it.</t>
        </is>
      </c>
      <c r="M362" s="14" t="inlineStr">
        <is>
          <t xml:space="preserve">Candidate</t>
        </is>
      </c>
      <c r="N362" s="14" t="inlineStr">
        <is>
          <t xml:space="preserve">No</t>
        </is>
      </c>
      <c r="O362" s="14" t="inlineStr">
        <is>
          <t xml:space="preserve">Active</t>
        </is>
      </c>
      <c r="P362" s="14"/>
    </row>
    <row r="363">
      <c r="A363" s="14" t="inlineStr">
        <is>
          <t xml:space="preserve">RR-0383</t>
        </is>
      </c>
      <c r="B363" s="14" t="inlineStr">
        <is>
          <t xml:space="preserve">Admin Console &amp; Support</t>
        </is>
      </c>
      <c r="C363" s="14" t="inlineStr">
        <is>
          <t xml:space="preserve">Feature flags, issues and auditing</t>
        </is>
      </c>
      <c r="D363" s="14" t="inlineStr">
        <is>
          <t xml:space="preserve">Security</t>
        </is>
      </c>
      <c r="E363" s="14" t="inlineStr">
        <is>
          <t xml:space="preserve">View global audit log</t>
        </is>
      </c>
      <c r="F363" s="14" t="inlineStr">
        <is>
          <t xml:space="preserve">Critical</t>
        </is>
      </c>
      <c r="G363" s="14" t="inlineStr">
        <is>
          <t xml:space="preserve">Medium</t>
        </is>
      </c>
      <c r="H363" s="14" t="inlineStr">
        <is>
          <t xml:space="preserve">Beta</t>
        </is>
      </c>
      <c r="I363" s="14" t="inlineStr">
        <is>
          <t xml:space="preserve">Authorised RocketRota support/admin account and seeded customer records.</t>
        </is>
      </c>
      <c r="J363" s="14" t="inlineStr">
        <is>
          <t xml:space="preserve">1. Prepare the stated preconditions and sign in with the required role.
2. Navigate to Feature flags, issues and auditing.
3. Execute: View global audit log.
4. Refresh or reopen the relevant page and inspect persisted data.
5. Verify UI feedback, permissions, notifications and audit records where applicable.</t>
        </is>
      </c>
      <c r="K363" s="14" t="inlineStr">
        <is>
          <t xml:space="preserve">Customers with errors, feature flags and support cases</t>
        </is>
      </c>
      <c r="L363" s="14" t="inlineStr">
        <is>
          <t xml:space="preserve">Entries are searchable, immutable to normal admins and contain actor/action/target/time.</t>
        </is>
      </c>
      <c r="M363" s="14" t="inlineStr">
        <is>
          <t xml:space="preserve">Candidate</t>
        </is>
      </c>
      <c r="N363" s="14" t="inlineStr">
        <is>
          <t xml:space="preserve">Yes</t>
        </is>
      </c>
      <c r="O363" s="14" t="inlineStr">
        <is>
          <t xml:space="preserve">Active</t>
        </is>
      </c>
      <c r="P363" s="14"/>
    </row>
    <row r="364">
      <c r="A364" s="14" t="inlineStr">
        <is>
          <t xml:space="preserve">RR-0384</t>
        </is>
      </c>
      <c r="B364" s="14" t="inlineStr">
        <is>
          <t xml:space="preserve">Admin Console &amp; Support</t>
        </is>
      </c>
      <c r="C364" s="14" t="inlineStr">
        <is>
          <t xml:space="preserve">Feature flags, issues and auditing</t>
        </is>
      </c>
      <c r="D364" s="14" t="inlineStr">
        <is>
          <t xml:space="preserve">Security</t>
        </is>
      </c>
      <c r="E364" s="14" t="inlineStr">
        <is>
          <t xml:space="preserve">Export an audit subset</t>
        </is>
      </c>
      <c r="F364" s="14" t="inlineStr">
        <is>
          <t xml:space="preserve">High</t>
        </is>
      </c>
      <c r="G364" s="14" t="inlineStr">
        <is>
          <t xml:space="preserve">Medium</t>
        </is>
      </c>
      <c r="H364" s="14" t="inlineStr">
        <is>
          <t xml:space="preserve">Beta</t>
        </is>
      </c>
      <c r="I364" s="14" t="inlineStr">
        <is>
          <t xml:space="preserve">Authorised RocketRota support/admin account and seeded customer records.</t>
        </is>
      </c>
      <c r="J364" s="14" t="inlineStr">
        <is>
          <t xml:space="preserve">1. Prepare the stated preconditions and sign in with the required role.
2. Navigate to Feature flags, issues and auditing.
3. Execute: Export an audit subset.
4. Refresh or reopen the relevant page and inspect persisted data.
5. Verify UI feedback, permissions, notifications and audit records where applicable.</t>
        </is>
      </c>
      <c r="K364" s="14" t="inlineStr">
        <is>
          <t xml:space="preserve">Customers with errors, feature flags and support cases</t>
        </is>
      </c>
      <c r="L364" s="14" t="inlineStr">
        <is>
          <t xml:space="preserve">Export contains only authorised fields and applied filters.</t>
        </is>
      </c>
      <c r="M364" s="14" t="inlineStr">
        <is>
          <t xml:space="preserve">Candidate</t>
        </is>
      </c>
      <c r="N364" s="14" t="inlineStr">
        <is>
          <t xml:space="preserve">Yes</t>
        </is>
      </c>
      <c r="O364" s="14" t="inlineStr">
        <is>
          <t xml:space="preserve">Active</t>
        </is>
      </c>
      <c r="P364" s="14"/>
    </row>
    <row r="365">
      <c r="A365" s="14" t="inlineStr">
        <is>
          <t xml:space="preserve">RR-0385</t>
        </is>
      </c>
      <c r="B365" s="14" t="inlineStr">
        <is>
          <t xml:space="preserve">Admin Console &amp; Support</t>
        </is>
      </c>
      <c r="C365" s="14" t="inlineStr">
        <is>
          <t xml:space="preserve">Feature flags, issues and auditing</t>
        </is>
      </c>
      <c r="D365" s="14" t="inlineStr">
        <is>
          <t xml:space="preserve">Security</t>
        </is>
      </c>
      <c r="E365" s="14" t="inlineStr">
        <is>
          <t xml:space="preserve">Admin console uses same production database</t>
        </is>
      </c>
      <c r="F365" s="14" t="inlineStr">
        <is>
          <t xml:space="preserve">Critical</t>
        </is>
      </c>
      <c r="G365" s="14" t="inlineStr">
        <is>
          <t xml:space="preserve">Medium</t>
        </is>
      </c>
      <c r="H365" s="14" t="inlineStr">
        <is>
          <t xml:space="preserve">Beta</t>
        </is>
      </c>
      <c r="I365" s="14" t="inlineStr">
        <is>
          <t xml:space="preserve">Authorised RocketRota support/admin account and seeded customer records.</t>
        </is>
      </c>
      <c r="J365" s="14" t="inlineStr">
        <is>
          <t xml:space="preserve">1. Prepare the stated preconditions and sign in with the required role.
2. Navigate to Feature flags, issues and auditing.
3. Execute: Admin console uses same production database.
4. Refresh or reopen the relevant page and inspect persisted data.
5. Verify UI feedback, permissions, notifications and audit records where applicable.</t>
        </is>
      </c>
      <c r="K365" s="14" t="inlineStr">
        <is>
          <t xml:space="preserve">Customers with errors, feature flags and support cases</t>
        </is>
      </c>
      <c r="L365" s="14" t="inlineStr">
        <is>
          <t xml:space="preserve">Extra safeguards prevent accidental destructive operations and all writes are audited.</t>
        </is>
      </c>
      <c r="M365" s="14" t="inlineStr">
        <is>
          <t xml:space="preserve">Candidate</t>
        </is>
      </c>
      <c r="N365" s="14" t="inlineStr">
        <is>
          <t xml:space="preserve">Yes</t>
        </is>
      </c>
      <c r="O365" s="14" t="inlineStr">
        <is>
          <t xml:space="preserve">Active</t>
        </is>
      </c>
      <c r="P365" s="14"/>
    </row>
    <row r="366">
      <c r="A366" s="14" t="inlineStr">
        <is>
          <t xml:space="preserve">RR-0386</t>
        </is>
      </c>
      <c r="B366" s="14" t="inlineStr">
        <is>
          <t xml:space="preserve">Admin Console &amp; Support</t>
        </is>
      </c>
      <c r="C366" s="14" t="inlineStr">
        <is>
          <t xml:space="preserve">Feature flags, issues and auditing</t>
        </is>
      </c>
      <c r="D366" s="14" t="inlineStr">
        <is>
          <t xml:space="preserve">Security</t>
        </is>
      </c>
      <c r="E366" s="14" t="inlineStr">
        <is>
          <t xml:space="preserve">Admin console session expires</t>
        </is>
      </c>
      <c r="F366" s="14" t="inlineStr">
        <is>
          <t xml:space="preserve">Critical</t>
        </is>
      </c>
      <c r="G366" s="14" t="inlineStr">
        <is>
          <t xml:space="preserve">Medium</t>
        </is>
      </c>
      <c r="H366" s="14" t="inlineStr">
        <is>
          <t xml:space="preserve">Beta</t>
        </is>
      </c>
      <c r="I366" s="14" t="inlineStr">
        <is>
          <t xml:space="preserve">Authorised RocketRota support/admin account and seeded customer records.</t>
        </is>
      </c>
      <c r="J366" s="14" t="inlineStr">
        <is>
          <t xml:space="preserve">1. Prepare the stated preconditions and sign in with the required role.
2. Navigate to Feature flags, issues and auditing.
3. Execute: Admin console session expires.
4. Refresh or reopen the relevant page and inspect persisted data.
5. Verify UI feedback, permissions, notifications and audit records where applicable.</t>
        </is>
      </c>
      <c r="K366" s="14" t="inlineStr">
        <is>
          <t xml:space="preserve">Customers with errors, feature flags and support cases</t>
        </is>
      </c>
      <c r="L366" s="14" t="inlineStr">
        <is>
          <t xml:space="preserve">Privileged routes lock promptly and require reauthentication.</t>
        </is>
      </c>
      <c r="M366" s="14" t="inlineStr">
        <is>
          <t xml:space="preserve">Candidate</t>
        </is>
      </c>
      <c r="N366" s="14" t="inlineStr">
        <is>
          <t xml:space="preserve">Yes</t>
        </is>
      </c>
      <c r="O366" s="14" t="inlineStr">
        <is>
          <t xml:space="preserve">Active</t>
        </is>
      </c>
      <c r="P366" s="14"/>
    </row>
    <row r="367">
      <c r="A367" s="14" t="inlineStr">
        <is>
          <t xml:space="preserve">RR-0387</t>
        </is>
      </c>
      <c r="B367" s="14" t="inlineStr">
        <is>
          <t xml:space="preserve">Security &amp; Multi-tenancy</t>
        </is>
      </c>
      <c r="C367" s="14" t="inlineStr">
        <is>
          <t xml:space="preserve">Tenant isolation</t>
        </is>
      </c>
      <c r="D367" s="14" t="inlineStr">
        <is>
          <t xml:space="preserve">Security</t>
        </is>
      </c>
      <c r="E367" s="14" t="inlineStr">
        <is>
          <t xml:space="preserve">Org A user requests Org B organisation ID</t>
        </is>
      </c>
      <c r="F367" s="14" t="inlineStr">
        <is>
          <t xml:space="preserve">Critical</t>
        </is>
      </c>
      <c r="G367" s="14" t="inlineStr">
        <is>
          <t xml:space="preserve">Medium</t>
        </is>
      </c>
      <c r="H367" s="14" t="inlineStr">
        <is>
          <t xml:space="preserve">Beta</t>
        </is>
      </c>
      <c r="I367" s="14" t="inlineStr">
        <is>
          <t xml:space="preserve">Two isolated organisations with users, locations and employees; security test environment.</t>
        </is>
      </c>
      <c r="J367" s="14" t="inlineStr">
        <is>
          <t xml:space="preserve">1. Prepare the stated preconditions and sign in with the required role.
2. Navigate to Tenant isolation.
3. Execute: Org A user requests Org B organisation ID.
4. Refresh or reopen the relevant page and inspect persisted data.
5. Verify UI feedback, permissions, notifications and audit records where applicable.</t>
        </is>
      </c>
      <c r="K367" s="14" t="inlineStr">
        <is>
          <t xml:space="preserve">Org A and Org B IDs, sessions, APIs and storage objects</t>
        </is>
      </c>
      <c r="L367" s="14" t="inlineStr">
        <is>
          <t xml:space="preserve">No Org B data is returned.</t>
        </is>
      </c>
      <c r="M367" s="14" t="inlineStr">
        <is>
          <t xml:space="preserve">Candidate</t>
        </is>
      </c>
      <c r="N367" s="14" t="inlineStr">
        <is>
          <t xml:space="preserve">Yes</t>
        </is>
      </c>
      <c r="O367" s="14" t="inlineStr">
        <is>
          <t xml:space="preserve">Active</t>
        </is>
      </c>
      <c r="P367" s="14"/>
    </row>
    <row r="368">
      <c r="A368" s="14" t="inlineStr">
        <is>
          <t xml:space="preserve">RR-0388</t>
        </is>
      </c>
      <c r="B368" s="14" t="inlineStr">
        <is>
          <t xml:space="preserve">Security &amp; Multi-tenancy</t>
        </is>
      </c>
      <c r="C368" s="14" t="inlineStr">
        <is>
          <t xml:space="preserve">Tenant isolation</t>
        </is>
      </c>
      <c r="D368" s="14" t="inlineStr">
        <is>
          <t xml:space="preserve">Security</t>
        </is>
      </c>
      <c r="E368" s="14" t="inlineStr">
        <is>
          <t xml:space="preserve">Org A manager requests Org B location shifts</t>
        </is>
      </c>
      <c r="F368" s="14" t="inlineStr">
        <is>
          <t xml:space="preserve">Critical</t>
        </is>
      </c>
      <c r="G368" s="14" t="inlineStr">
        <is>
          <t xml:space="preserve">Medium</t>
        </is>
      </c>
      <c r="H368" s="14" t="inlineStr">
        <is>
          <t xml:space="preserve">Beta</t>
        </is>
      </c>
      <c r="I368" s="14" t="inlineStr">
        <is>
          <t xml:space="preserve">Two isolated organisations with users, locations and employees; security test environment.</t>
        </is>
      </c>
      <c r="J368" s="14" t="inlineStr">
        <is>
          <t xml:space="preserve">1. Prepare the stated preconditions and sign in with the required role.
2. Navigate to Tenant isolation.
3. Execute: Org A manager requests Org B location shifts.
4. Refresh or reopen the relevant page and inspect persisted data.
5. Verify UI feedback, permissions, notifications and audit records where applicable.</t>
        </is>
      </c>
      <c r="K368" s="14" t="inlineStr">
        <is>
          <t xml:space="preserve">Org A and Org B IDs, sessions, APIs and storage objects</t>
        </is>
      </c>
      <c r="L368" s="14" t="inlineStr">
        <is>
          <t xml:space="preserve">Request is denied at the database/server policy layer.</t>
        </is>
      </c>
      <c r="M368" s="14" t="inlineStr">
        <is>
          <t xml:space="preserve">Candidate</t>
        </is>
      </c>
      <c r="N368" s="14" t="inlineStr">
        <is>
          <t xml:space="preserve">Yes</t>
        </is>
      </c>
      <c r="O368" s="14" t="inlineStr">
        <is>
          <t xml:space="preserve">Active</t>
        </is>
      </c>
      <c r="P368" s="14"/>
    </row>
    <row r="369">
      <c r="A369" s="14" t="inlineStr">
        <is>
          <t xml:space="preserve">RR-0389</t>
        </is>
      </c>
      <c r="B369" s="14" t="inlineStr">
        <is>
          <t xml:space="preserve">Security &amp; Multi-tenancy</t>
        </is>
      </c>
      <c r="C369" s="14" t="inlineStr">
        <is>
          <t xml:space="preserve">Tenant isolation</t>
        </is>
      </c>
      <c r="D369" s="14" t="inlineStr">
        <is>
          <t xml:space="preserve">Security</t>
        </is>
      </c>
      <c r="E369" s="14" t="inlineStr">
        <is>
          <t xml:space="preserve">Org A user guesses Org B employee ID</t>
        </is>
      </c>
      <c r="F369" s="14" t="inlineStr">
        <is>
          <t xml:space="preserve">Critical</t>
        </is>
      </c>
      <c r="G369" s="14" t="inlineStr">
        <is>
          <t xml:space="preserve">Medium</t>
        </is>
      </c>
      <c r="H369" s="14" t="inlineStr">
        <is>
          <t xml:space="preserve">Beta</t>
        </is>
      </c>
      <c r="I369" s="14" t="inlineStr">
        <is>
          <t xml:space="preserve">Two isolated organisations with users, locations and employees; security test environment.</t>
        </is>
      </c>
      <c r="J369" s="14" t="inlineStr">
        <is>
          <t xml:space="preserve">1. Prepare the stated preconditions and sign in with the required role.
2. Navigate to Tenant isolation.
3. Execute: Org A user guesses Org B employee ID.
4. Refresh or reopen the relevant page and inspect persisted data.
5. Verify UI feedback, permissions, notifications and audit records where applicable.</t>
        </is>
      </c>
      <c r="K369" s="14" t="inlineStr">
        <is>
          <t xml:space="preserve">Org A and Org B IDs, sessions, APIs and storage objects</t>
        </is>
      </c>
      <c r="L369" s="14" t="inlineStr">
        <is>
          <t xml:space="preserve">No profile, availability or timesheet data is exposed.</t>
        </is>
      </c>
      <c r="M369" s="14" t="inlineStr">
        <is>
          <t xml:space="preserve">Candidate</t>
        </is>
      </c>
      <c r="N369" s="14" t="inlineStr">
        <is>
          <t xml:space="preserve">Yes</t>
        </is>
      </c>
      <c r="O369" s="14" t="inlineStr">
        <is>
          <t xml:space="preserve">Active</t>
        </is>
      </c>
      <c r="P369" s="14"/>
    </row>
    <row r="370">
      <c r="A370" s="14" t="inlineStr">
        <is>
          <t xml:space="preserve">RR-0390</t>
        </is>
      </c>
      <c r="B370" s="14" t="inlineStr">
        <is>
          <t xml:space="preserve">Security &amp; Multi-tenancy</t>
        </is>
      </c>
      <c r="C370" s="14" t="inlineStr">
        <is>
          <t xml:space="preserve">Tenant isolation</t>
        </is>
      </c>
      <c r="D370" s="14" t="inlineStr">
        <is>
          <t xml:space="preserve">Security</t>
        </is>
      </c>
      <c r="E370" s="14" t="inlineStr">
        <is>
          <t xml:space="preserve">Org A accesses Org B export URL</t>
        </is>
      </c>
      <c r="F370" s="14" t="inlineStr">
        <is>
          <t xml:space="preserve">Critical</t>
        </is>
      </c>
      <c r="G370" s="14" t="inlineStr">
        <is>
          <t xml:space="preserve">Medium</t>
        </is>
      </c>
      <c r="H370" s="14" t="inlineStr">
        <is>
          <t xml:space="preserve">Beta</t>
        </is>
      </c>
      <c r="I370" s="14" t="inlineStr">
        <is>
          <t xml:space="preserve">Two isolated organisations with users, locations and employees; security test environment.</t>
        </is>
      </c>
      <c r="J370" s="14" t="inlineStr">
        <is>
          <t xml:space="preserve">1. Prepare the stated preconditions and sign in with the required role.
2. Navigate to Tenant isolation.
3. Execute: Org A accesses Org B export URL.
4. Refresh or reopen the relevant page and inspect persisted data.
5. Verify UI feedback, permissions, notifications and audit records where applicable.</t>
        </is>
      </c>
      <c r="K370" s="14" t="inlineStr">
        <is>
          <t xml:space="preserve">Org A and Org B IDs, sessions, APIs and storage objects</t>
        </is>
      </c>
      <c r="L370" s="14" t="inlineStr">
        <is>
          <t xml:space="preserve">Export is denied or uses short-lived tenant-bound authorisation.</t>
        </is>
      </c>
      <c r="M370" s="14" t="inlineStr">
        <is>
          <t xml:space="preserve">Candidate</t>
        </is>
      </c>
      <c r="N370" s="14" t="inlineStr">
        <is>
          <t xml:space="preserve">Yes</t>
        </is>
      </c>
      <c r="O370" s="14" t="inlineStr">
        <is>
          <t xml:space="preserve">Active</t>
        </is>
      </c>
      <c r="P370" s="14"/>
    </row>
    <row r="371">
      <c r="A371" s="14" t="inlineStr">
        <is>
          <t xml:space="preserve">RR-0391</t>
        </is>
      </c>
      <c r="B371" s="14" t="inlineStr">
        <is>
          <t xml:space="preserve">Security &amp; Multi-tenancy</t>
        </is>
      </c>
      <c r="C371" s="14" t="inlineStr">
        <is>
          <t xml:space="preserve">Tenant isolation</t>
        </is>
      </c>
      <c r="D371" s="14" t="inlineStr">
        <is>
          <t xml:space="preserve">Security</t>
        </is>
      </c>
      <c r="E371" s="14" t="inlineStr">
        <is>
          <t xml:space="preserve">Change organisation ID in client payload</t>
        </is>
      </c>
      <c r="F371" s="14" t="inlineStr">
        <is>
          <t xml:space="preserve">Critical</t>
        </is>
      </c>
      <c r="G371" s="14" t="inlineStr">
        <is>
          <t xml:space="preserve">Medium</t>
        </is>
      </c>
      <c r="H371" s="14" t="inlineStr">
        <is>
          <t xml:space="preserve">Beta</t>
        </is>
      </c>
      <c r="I371" s="14" t="inlineStr">
        <is>
          <t xml:space="preserve">Two isolated organisations with users, locations and employees; security test environment.</t>
        </is>
      </c>
      <c r="J371" s="14" t="inlineStr">
        <is>
          <t xml:space="preserve">1. Prepare the stated preconditions and sign in with the required role.
2. Navigate to Tenant isolation.
3. Execute: Change organisation ID in client payload.
4. Refresh or reopen the relevant page and inspect persisted data.
5. Verify UI feedback, permissions, notifications and audit records where applicable.</t>
        </is>
      </c>
      <c r="K371" s="14" t="inlineStr">
        <is>
          <t xml:space="preserve">Org A and Org B IDs, sessions, APIs and storage objects</t>
        </is>
      </c>
      <c r="L371" s="14" t="inlineStr">
        <is>
          <t xml:space="preserve">Server derives/validates tenant context and rejects tampering.</t>
        </is>
      </c>
      <c r="M371" s="14" t="inlineStr">
        <is>
          <t xml:space="preserve">Candidate</t>
        </is>
      </c>
      <c r="N371" s="14" t="inlineStr">
        <is>
          <t xml:space="preserve">Yes</t>
        </is>
      </c>
      <c r="O371" s="14" t="inlineStr">
        <is>
          <t xml:space="preserve">Active</t>
        </is>
      </c>
      <c r="P371" s="14"/>
    </row>
    <row r="372">
      <c r="A372" s="14" t="inlineStr">
        <is>
          <t xml:space="preserve">RR-0392</t>
        </is>
      </c>
      <c r="B372" s="14" t="inlineStr">
        <is>
          <t xml:space="preserve">Security &amp; Multi-tenancy</t>
        </is>
      </c>
      <c r="C372" s="14" t="inlineStr">
        <is>
          <t xml:space="preserve">Tenant isolation</t>
        </is>
      </c>
      <c r="D372" s="14" t="inlineStr">
        <is>
          <t xml:space="preserve">Security</t>
        </is>
      </c>
      <c r="E372" s="14" t="inlineStr">
        <is>
          <t xml:space="preserve">Cross-tenant search query</t>
        </is>
      </c>
      <c r="F372" s="14" t="inlineStr">
        <is>
          <t xml:space="preserve">Critical</t>
        </is>
      </c>
      <c r="G372" s="14" t="inlineStr">
        <is>
          <t xml:space="preserve">Medium</t>
        </is>
      </c>
      <c r="H372" s="14" t="inlineStr">
        <is>
          <t xml:space="preserve">Beta</t>
        </is>
      </c>
      <c r="I372" s="14" t="inlineStr">
        <is>
          <t xml:space="preserve">Two isolated organisations with users, locations and employees; security test environment.</t>
        </is>
      </c>
      <c r="J372" s="14" t="inlineStr">
        <is>
          <t xml:space="preserve">1. Prepare the stated preconditions and sign in with the required role.
2. Navigate to Tenant isolation.
3. Execute: Cross-tenant search query.
4. Refresh or reopen the relevant page and inspect persisted data.
5. Verify UI feedback, permissions, notifications and audit records where applicable.</t>
        </is>
      </c>
      <c r="K372" s="14" t="inlineStr">
        <is>
          <t xml:space="preserve">Org A and Org B IDs, sessions, APIs and storage objects</t>
        </is>
      </c>
      <c r="L372" s="14" t="inlineStr">
        <is>
          <t xml:space="preserve">Search returns records only from authorised tenants.</t>
        </is>
      </c>
      <c r="M372" s="14" t="inlineStr">
        <is>
          <t xml:space="preserve">Candidate</t>
        </is>
      </c>
      <c r="N372" s="14" t="inlineStr">
        <is>
          <t xml:space="preserve">Yes</t>
        </is>
      </c>
      <c r="O372" s="14" t="inlineStr">
        <is>
          <t xml:space="preserve">Active</t>
        </is>
      </c>
      <c r="P372" s="14"/>
    </row>
    <row r="373">
      <c r="A373" s="14" t="inlineStr">
        <is>
          <t xml:space="preserve">RR-0393</t>
        </is>
      </c>
      <c r="B373" s="14" t="inlineStr">
        <is>
          <t xml:space="preserve">Security &amp; Multi-tenancy</t>
        </is>
      </c>
      <c r="C373" s="14" t="inlineStr">
        <is>
          <t xml:space="preserve">Tenant isolation</t>
        </is>
      </c>
      <c r="D373" s="14" t="inlineStr">
        <is>
          <t xml:space="preserve">Security</t>
        </is>
      </c>
      <c r="E373" s="14" t="inlineStr">
        <is>
          <t xml:space="preserve">Shared email belongs to users in multiple organisations</t>
        </is>
      </c>
      <c r="F373" s="14" t="inlineStr">
        <is>
          <t xml:space="preserve">Critical</t>
        </is>
      </c>
      <c r="G373" s="14" t="inlineStr">
        <is>
          <t xml:space="preserve">Medium</t>
        </is>
      </c>
      <c r="H373" s="14" t="inlineStr">
        <is>
          <t xml:space="preserve">Beta</t>
        </is>
      </c>
      <c r="I373" s="14" t="inlineStr">
        <is>
          <t xml:space="preserve">Two isolated organisations with users, locations and employees; security test environment.</t>
        </is>
      </c>
      <c r="J373" s="14" t="inlineStr">
        <is>
          <t xml:space="preserve">1. Prepare the stated preconditions and sign in with the required role.
2. Navigate to Tenant isolation.
3. Execute: Shared email belongs to users in multiple organisations.
4. Refresh or reopen the relevant page and inspect persisted data.
5. Verify UI feedback, permissions, notifications and audit records where applicable.</t>
        </is>
      </c>
      <c r="K373" s="14" t="inlineStr">
        <is>
          <t xml:space="preserve">Org A and Org B IDs, sessions, APIs and storage objects</t>
        </is>
      </c>
      <c r="L373" s="14" t="inlineStr">
        <is>
          <t xml:space="preserve">Organisation switching is explicit and data remains isolated.</t>
        </is>
      </c>
      <c r="M373" s="14" t="inlineStr">
        <is>
          <t xml:space="preserve">Candidate</t>
        </is>
      </c>
      <c r="N373" s="14" t="inlineStr">
        <is>
          <t xml:space="preserve">Yes</t>
        </is>
      </c>
      <c r="O373" s="14" t="inlineStr">
        <is>
          <t xml:space="preserve">Active</t>
        </is>
      </c>
      <c r="P373" s="14"/>
    </row>
    <row r="374">
      <c r="A374" s="14" t="inlineStr">
        <is>
          <t xml:space="preserve">RR-0394</t>
        </is>
      </c>
      <c r="B374" s="14" t="inlineStr">
        <is>
          <t xml:space="preserve">Security &amp; Multi-tenancy</t>
        </is>
      </c>
      <c r="C374" s="14" t="inlineStr">
        <is>
          <t xml:space="preserve">Tenant isolation</t>
        </is>
      </c>
      <c r="D374" s="14" t="inlineStr">
        <is>
          <t xml:space="preserve">Security</t>
        </is>
      </c>
      <c r="E374" s="14" t="inlineStr">
        <is>
          <t xml:space="preserve">Background job processes notifications for multiple tenants</t>
        </is>
      </c>
      <c r="F374" s="14" t="inlineStr">
        <is>
          <t xml:space="preserve">Critical</t>
        </is>
      </c>
      <c r="G374" s="14" t="inlineStr">
        <is>
          <t xml:space="preserve">Medium</t>
        </is>
      </c>
      <c r="H374" s="14" t="inlineStr">
        <is>
          <t xml:space="preserve">Beta</t>
        </is>
      </c>
      <c r="I374" s="14" t="inlineStr">
        <is>
          <t xml:space="preserve">Two isolated organisations with users, locations and employees; security test environment.</t>
        </is>
      </c>
      <c r="J374" s="14" t="inlineStr">
        <is>
          <t xml:space="preserve">1. Prepare the stated preconditions and sign in with the required role.
2. Navigate to Tenant isolation.
3. Execute: Background job processes notifications for multiple tenants.
4. Refresh or reopen the relevant page and inspect persisted data.
5. Verify UI feedback, permissions, notifications and audit records where applicable.</t>
        </is>
      </c>
      <c r="K374" s="14" t="inlineStr">
        <is>
          <t xml:space="preserve">Org A and Org B IDs, sessions, APIs and storage objects</t>
        </is>
      </c>
      <c r="L374" s="14" t="inlineStr">
        <is>
          <t xml:space="preserve">Each job uses correct tenant context and recipients.</t>
        </is>
      </c>
      <c r="M374" s="14" t="inlineStr">
        <is>
          <t xml:space="preserve">Candidate</t>
        </is>
      </c>
      <c r="N374" s="14" t="inlineStr">
        <is>
          <t xml:space="preserve">Yes</t>
        </is>
      </c>
      <c r="O374" s="14" t="inlineStr">
        <is>
          <t xml:space="preserve">Active</t>
        </is>
      </c>
      <c r="P374" s="14"/>
    </row>
    <row r="375">
      <c r="A375" s="14" t="inlineStr">
        <is>
          <t xml:space="preserve">RR-0395</t>
        </is>
      </c>
      <c r="B375" s="14" t="inlineStr">
        <is>
          <t xml:space="preserve">Security &amp; Multi-tenancy</t>
        </is>
      </c>
      <c r="C375" s="14" t="inlineStr">
        <is>
          <t xml:space="preserve">Application and data security</t>
        </is>
      </c>
      <c r="D375" s="14" t="inlineStr">
        <is>
          <t xml:space="preserve">Security</t>
        </is>
      </c>
      <c r="E375" s="14" t="inlineStr">
        <is>
          <t xml:space="preserve">Submit stored XSS payload in names/notes</t>
        </is>
      </c>
      <c r="F375" s="14" t="inlineStr">
        <is>
          <t xml:space="preserve">Critical</t>
        </is>
      </c>
      <c r="G375" s="14" t="inlineStr">
        <is>
          <t xml:space="preserve">Medium</t>
        </is>
      </c>
      <c r="H375" s="14" t="inlineStr">
        <is>
          <t xml:space="preserve">Beta</t>
        </is>
      </c>
      <c r="I375" s="14" t="inlineStr">
        <is>
          <t xml:space="preserve">Two isolated organisations with users, locations and employees; security test environment.</t>
        </is>
      </c>
      <c r="J375" s="14" t="inlineStr">
        <is>
          <t xml:space="preserve">1. Prepare the stated preconditions and sign in with the required role.
2. Navigate to Application and data security.
3. Execute: Submit stored XSS payload in names/notes.
4. Refresh or reopen the relevant page and inspect persisted data.
5. Verify UI feedback, permissions, notifications and audit records where applicable.</t>
        </is>
      </c>
      <c r="K375" s="14" t="inlineStr">
        <is>
          <t xml:space="preserve">Org A and Org B IDs, sessions, APIs and storage objects</t>
        </is>
      </c>
      <c r="L375" s="14" t="inlineStr">
        <is>
          <t xml:space="preserve">Payload is escaped/sanitised on all UI, email and export surfaces.</t>
        </is>
      </c>
      <c r="M375" s="14" t="inlineStr">
        <is>
          <t xml:space="preserve">Candidate</t>
        </is>
      </c>
      <c r="N375" s="14" t="inlineStr">
        <is>
          <t xml:space="preserve">Yes</t>
        </is>
      </c>
      <c r="O375" s="14" t="inlineStr">
        <is>
          <t xml:space="preserve">Active</t>
        </is>
      </c>
      <c r="P375" s="14"/>
    </row>
    <row r="376">
      <c r="A376" s="14" t="inlineStr">
        <is>
          <t xml:space="preserve">RR-0396</t>
        </is>
      </c>
      <c r="B376" s="14" t="inlineStr">
        <is>
          <t xml:space="preserve">Security &amp; Multi-tenancy</t>
        </is>
      </c>
      <c r="C376" s="14" t="inlineStr">
        <is>
          <t xml:space="preserve">Application and data security</t>
        </is>
      </c>
      <c r="D376" s="14" t="inlineStr">
        <is>
          <t xml:space="preserve">Security</t>
        </is>
      </c>
      <c r="E376" s="14" t="inlineStr">
        <is>
          <t xml:space="preserve">Submit SQL-injection strings through search/forms</t>
        </is>
      </c>
      <c r="F376" s="14" t="inlineStr">
        <is>
          <t xml:space="preserve">Critical</t>
        </is>
      </c>
      <c r="G376" s="14" t="inlineStr">
        <is>
          <t xml:space="preserve">Medium</t>
        </is>
      </c>
      <c r="H376" s="14" t="inlineStr">
        <is>
          <t xml:space="preserve">Beta</t>
        </is>
      </c>
      <c r="I376" s="14" t="inlineStr">
        <is>
          <t xml:space="preserve">Two isolated organisations with users, locations and employees; security test environment.</t>
        </is>
      </c>
      <c r="J376" s="14" t="inlineStr">
        <is>
          <t xml:space="preserve">1. Prepare the stated preconditions and sign in with the required role.
2. Navigate to Application and data security.
3. Execute: Submit SQL-injection strings through search/forms.
4. Refresh or reopen the relevant page and inspect persisted data.
5. Verify UI feedback, permissions, notifications and audit records where applicable.</t>
        </is>
      </c>
      <c r="K376" s="14" t="inlineStr">
        <is>
          <t xml:space="preserve">Org A and Org B IDs, sessions, APIs and storage objects</t>
        </is>
      </c>
      <c r="L376" s="14" t="inlineStr">
        <is>
          <t xml:space="preserve">Queries remain parameterised and no data leakage or error details occur.</t>
        </is>
      </c>
      <c r="M376" s="14" t="inlineStr">
        <is>
          <t xml:space="preserve">Candidate</t>
        </is>
      </c>
      <c r="N376" s="14" t="inlineStr">
        <is>
          <t xml:space="preserve">Yes</t>
        </is>
      </c>
      <c r="O376" s="14" t="inlineStr">
        <is>
          <t xml:space="preserve">Active</t>
        </is>
      </c>
      <c r="P376" s="14"/>
    </row>
    <row r="377">
      <c r="A377" s="14" t="inlineStr">
        <is>
          <t xml:space="preserve">RR-0397</t>
        </is>
      </c>
      <c r="B377" s="14" t="inlineStr">
        <is>
          <t xml:space="preserve">Security &amp; Multi-tenancy</t>
        </is>
      </c>
      <c r="C377" s="14" t="inlineStr">
        <is>
          <t xml:space="preserve">Application and data security</t>
        </is>
      </c>
      <c r="D377" s="14" t="inlineStr">
        <is>
          <t xml:space="preserve">Security</t>
        </is>
      </c>
      <c r="E377" s="14" t="inlineStr">
        <is>
          <t xml:space="preserve">Perform CSRF attempt on a state-changing request</t>
        </is>
      </c>
      <c r="F377" s="14" t="inlineStr">
        <is>
          <t xml:space="preserve">Critical</t>
        </is>
      </c>
      <c r="G377" s="14" t="inlineStr">
        <is>
          <t xml:space="preserve">Medium</t>
        </is>
      </c>
      <c r="H377" s="14" t="inlineStr">
        <is>
          <t xml:space="preserve">Beta</t>
        </is>
      </c>
      <c r="I377" s="14" t="inlineStr">
        <is>
          <t xml:space="preserve">Two isolated organisations with users, locations and employees; security test environment.</t>
        </is>
      </c>
      <c r="J377" s="14" t="inlineStr">
        <is>
          <t xml:space="preserve">1. Prepare the stated preconditions and sign in with the required role.
2. Navigate to Application and data security.
3. Execute: Perform CSRF attempt on a state-changing request.
4. Refresh or reopen the relevant page and inspect persisted data.
5. Verify UI feedback, permissions, notifications and audit records where applicable.</t>
        </is>
      </c>
      <c r="K377" s="14" t="inlineStr">
        <is>
          <t xml:space="preserve">Org A and Org B IDs, sessions, APIs and storage objects</t>
        </is>
      </c>
      <c r="L377" s="14" t="inlineStr">
        <is>
          <t xml:space="preserve">Request is rejected by origin/token/session protections.</t>
        </is>
      </c>
      <c r="M377" s="14" t="inlineStr">
        <is>
          <t xml:space="preserve">Candidate</t>
        </is>
      </c>
      <c r="N377" s="14" t="inlineStr">
        <is>
          <t xml:space="preserve">Yes</t>
        </is>
      </c>
      <c r="O377" s="14" t="inlineStr">
        <is>
          <t xml:space="preserve">Active</t>
        </is>
      </c>
      <c r="P377" s="14"/>
    </row>
    <row r="378">
      <c r="A378" s="14" t="inlineStr">
        <is>
          <t xml:space="preserve">RR-0398</t>
        </is>
      </c>
      <c r="B378" s="14" t="inlineStr">
        <is>
          <t xml:space="preserve">Security &amp; Multi-tenancy</t>
        </is>
      </c>
      <c r="C378" s="14" t="inlineStr">
        <is>
          <t xml:space="preserve">Application and data security</t>
        </is>
      </c>
      <c r="D378" s="14" t="inlineStr">
        <is>
          <t xml:space="preserve">Security</t>
        </is>
      </c>
      <c r="E378" s="14" t="inlineStr">
        <is>
          <t xml:space="preserve">Use a stolen/expired session token</t>
        </is>
      </c>
      <c r="F378" s="14" t="inlineStr">
        <is>
          <t xml:space="preserve">Critical</t>
        </is>
      </c>
      <c r="G378" s="14" t="inlineStr">
        <is>
          <t xml:space="preserve">Medium</t>
        </is>
      </c>
      <c r="H378" s="14" t="inlineStr">
        <is>
          <t xml:space="preserve">Beta</t>
        </is>
      </c>
      <c r="I378" s="14" t="inlineStr">
        <is>
          <t xml:space="preserve">Two isolated organisations with users, locations and employees; security test environment.</t>
        </is>
      </c>
      <c r="J378" s="14" t="inlineStr">
        <is>
          <t xml:space="preserve">1. Prepare the stated preconditions and sign in with the required role.
2. Navigate to Application and data security.
3. Execute: Use a stolen/expired session token.
4. Refresh or reopen the relevant page and inspect persisted data.
5. Verify UI feedback, permissions, notifications and audit records where applicable.</t>
        </is>
      </c>
      <c r="K378" s="14" t="inlineStr">
        <is>
          <t xml:space="preserve">Org A and Org B IDs, sessions, APIs and storage objects</t>
        </is>
      </c>
      <c r="L378" s="14" t="inlineStr">
        <is>
          <t xml:space="preserve">Session is rejected and sensitive actions may require reauthentication.</t>
        </is>
      </c>
      <c r="M378" s="14" t="inlineStr">
        <is>
          <t xml:space="preserve">Candidate</t>
        </is>
      </c>
      <c r="N378" s="14" t="inlineStr">
        <is>
          <t xml:space="preserve">Yes</t>
        </is>
      </c>
      <c r="O378" s="14" t="inlineStr">
        <is>
          <t xml:space="preserve">Active</t>
        </is>
      </c>
      <c r="P378" s="14"/>
    </row>
    <row r="379">
      <c r="A379" s="14" t="inlineStr">
        <is>
          <t xml:space="preserve">RR-0399</t>
        </is>
      </c>
      <c r="B379" s="14" t="inlineStr">
        <is>
          <t xml:space="preserve">Security &amp; Multi-tenancy</t>
        </is>
      </c>
      <c r="C379" s="14" t="inlineStr">
        <is>
          <t xml:space="preserve">Application and data security</t>
        </is>
      </c>
      <c r="D379" s="14" t="inlineStr">
        <is>
          <t xml:space="preserve">Security</t>
        </is>
      </c>
      <c r="E379" s="14" t="inlineStr">
        <is>
          <t xml:space="preserve">Attempt brute-force sign-in</t>
        </is>
      </c>
      <c r="F379" s="14" t="inlineStr">
        <is>
          <t xml:space="preserve">Critical</t>
        </is>
      </c>
      <c r="G379" s="14" t="inlineStr">
        <is>
          <t xml:space="preserve">Medium</t>
        </is>
      </c>
      <c r="H379" s="14" t="inlineStr">
        <is>
          <t xml:space="preserve">Beta</t>
        </is>
      </c>
      <c r="I379" s="14" t="inlineStr">
        <is>
          <t xml:space="preserve">Two isolated organisations with users, locations and employees; security test environment.</t>
        </is>
      </c>
      <c r="J379" s="14" t="inlineStr">
        <is>
          <t xml:space="preserve">1. Prepare the stated preconditions and sign in with the required role.
2. Navigate to Application and data security.
3. Execute: Attempt brute-force sign-in.
4. Refresh or reopen the relevant page and inspect persisted data.
5. Verify UI feedback, permissions, notifications and audit records where applicable.</t>
        </is>
      </c>
      <c r="K379" s="14" t="inlineStr">
        <is>
          <t xml:space="preserve">Org A and Org B IDs, sessions, APIs and storage objects</t>
        </is>
      </c>
      <c r="L379" s="14" t="inlineStr">
        <is>
          <t xml:space="preserve">Rate limiting and monitoring activate without locking out the whole service.</t>
        </is>
      </c>
      <c r="M379" s="14" t="inlineStr">
        <is>
          <t xml:space="preserve">Candidate</t>
        </is>
      </c>
      <c r="N379" s="14" t="inlineStr">
        <is>
          <t xml:space="preserve">Yes</t>
        </is>
      </c>
      <c r="O379" s="14" t="inlineStr">
        <is>
          <t xml:space="preserve">Active</t>
        </is>
      </c>
      <c r="P379" s="14"/>
    </row>
    <row r="380">
      <c r="A380" s="14" t="inlineStr">
        <is>
          <t xml:space="preserve">RR-0400</t>
        </is>
      </c>
      <c r="B380" s="14" t="inlineStr">
        <is>
          <t xml:space="preserve">Security &amp; Multi-tenancy</t>
        </is>
      </c>
      <c r="C380" s="14" t="inlineStr">
        <is>
          <t xml:space="preserve">Application and data security</t>
        </is>
      </c>
      <c r="D380" s="14" t="inlineStr">
        <is>
          <t xml:space="preserve">Security</t>
        </is>
      </c>
      <c r="E380" s="14" t="inlineStr">
        <is>
          <t xml:space="preserve">Upload/import a malicious CSV formula</t>
        </is>
      </c>
      <c r="F380" s="14" t="inlineStr">
        <is>
          <t xml:space="preserve">Critical</t>
        </is>
      </c>
      <c r="G380" s="14" t="inlineStr">
        <is>
          <t xml:space="preserve">Medium</t>
        </is>
      </c>
      <c r="H380" s="14" t="inlineStr">
        <is>
          <t xml:space="preserve">Beta</t>
        </is>
      </c>
      <c r="I380" s="14" t="inlineStr">
        <is>
          <t xml:space="preserve">Two isolated organisations with users, locations and employees; security test environment.</t>
        </is>
      </c>
      <c r="J380" s="14" t="inlineStr">
        <is>
          <t xml:space="preserve">1. Prepare the stated preconditions and sign in with the required role.
2. Navigate to Application and data security.
3. Execute: Upload/import a malicious CSV formula.
4. Refresh or reopen the relevant page and inspect persisted data.
5. Verify UI feedback, permissions, notifications and audit records where applicable.</t>
        </is>
      </c>
      <c r="K380" s="14" t="inlineStr">
        <is>
          <t xml:space="preserve">Org A and Org B IDs, sessions, APIs and storage objects</t>
        </is>
      </c>
      <c r="L380" s="14" t="inlineStr">
        <is>
          <t xml:space="preserve">Export/import neutralises formula injection when opened in spreadsheet software.</t>
        </is>
      </c>
      <c r="M380" s="14" t="inlineStr">
        <is>
          <t xml:space="preserve">Candidate</t>
        </is>
      </c>
      <c r="N380" s="14" t="inlineStr">
        <is>
          <t xml:space="preserve">Yes</t>
        </is>
      </c>
      <c r="O380" s="14" t="inlineStr">
        <is>
          <t xml:space="preserve">Active</t>
        </is>
      </c>
      <c r="P380" s="14"/>
    </row>
    <row r="381">
      <c r="A381" s="14" t="inlineStr">
        <is>
          <t xml:space="preserve">RR-0401</t>
        </is>
      </c>
      <c r="B381" s="14" t="inlineStr">
        <is>
          <t xml:space="preserve">Security &amp; Multi-tenancy</t>
        </is>
      </c>
      <c r="C381" s="14" t="inlineStr">
        <is>
          <t xml:space="preserve">Application and data security</t>
        </is>
      </c>
      <c r="D381" s="14" t="inlineStr">
        <is>
          <t xml:space="preserve">Security</t>
        </is>
      </c>
      <c r="E381" s="14" t="inlineStr">
        <is>
          <t xml:space="preserve">Read secrets from client bundle or source maps</t>
        </is>
      </c>
      <c r="F381" s="14" t="inlineStr">
        <is>
          <t xml:space="preserve">Critical</t>
        </is>
      </c>
      <c r="G381" s="14" t="inlineStr">
        <is>
          <t xml:space="preserve">Medium</t>
        </is>
      </c>
      <c r="H381" s="14" t="inlineStr">
        <is>
          <t xml:space="preserve">Beta</t>
        </is>
      </c>
      <c r="I381" s="14" t="inlineStr">
        <is>
          <t xml:space="preserve">Two isolated organisations with users, locations and employees; security test environment.</t>
        </is>
      </c>
      <c r="J381" s="14" t="inlineStr">
        <is>
          <t xml:space="preserve">1. Prepare the stated preconditions and sign in with the required role.
2. Navigate to Application and data security.
3. Execute: Read secrets from client bundle or source maps.
4. Refresh or reopen the relevant page and inspect persisted data.
5. Verify UI feedback, permissions, notifications and audit records where applicable.</t>
        </is>
      </c>
      <c r="K381" s="14" t="inlineStr">
        <is>
          <t xml:space="preserve">Org A and Org B IDs, sessions, APIs and storage objects</t>
        </is>
      </c>
      <c r="L381" s="14" t="inlineStr">
        <is>
          <t xml:space="preserve">Server secrets, database credentials and NFC AES keys are absent.</t>
        </is>
      </c>
      <c r="M381" s="14" t="inlineStr">
        <is>
          <t xml:space="preserve">Candidate</t>
        </is>
      </c>
      <c r="N381" s="14" t="inlineStr">
        <is>
          <t xml:space="preserve">Yes</t>
        </is>
      </c>
      <c r="O381" s="14" t="inlineStr">
        <is>
          <t xml:space="preserve">Active</t>
        </is>
      </c>
      <c r="P381" s="14"/>
    </row>
    <row r="382">
      <c r="A382" s="14" t="inlineStr">
        <is>
          <t xml:space="preserve">RR-0402</t>
        </is>
      </c>
      <c r="B382" s="14" t="inlineStr">
        <is>
          <t xml:space="preserve">Security &amp; Multi-tenancy</t>
        </is>
      </c>
      <c r="C382" s="14" t="inlineStr">
        <is>
          <t xml:space="preserve">Application and data security</t>
        </is>
      </c>
      <c r="D382" s="14" t="inlineStr">
        <is>
          <t xml:space="preserve">Security</t>
        </is>
      </c>
      <c r="E382" s="14" t="inlineStr">
        <is>
          <t xml:space="preserve">Check security headers</t>
        </is>
      </c>
      <c r="F382" s="14" t="inlineStr">
        <is>
          <t xml:space="preserve">High</t>
        </is>
      </c>
      <c r="G382" s="14" t="inlineStr">
        <is>
          <t xml:space="preserve">Medium</t>
        </is>
      </c>
      <c r="H382" s="14" t="inlineStr">
        <is>
          <t xml:space="preserve">Beta</t>
        </is>
      </c>
      <c r="I382" s="14" t="inlineStr">
        <is>
          <t xml:space="preserve">Two isolated organisations with users, locations and employees; security test environment.</t>
        </is>
      </c>
      <c r="J382" s="14" t="inlineStr">
        <is>
          <t xml:space="preserve">1. Prepare the stated preconditions and sign in with the required role.
2. Navigate to Application and data security.
3. Execute: Check security headers.
4. Refresh or reopen the relevant page and inspect persisted data.
5. Verify UI feedback, permissions, notifications and audit records where applicable.</t>
        </is>
      </c>
      <c r="K382" s="14" t="inlineStr">
        <is>
          <t xml:space="preserve">Org A and Org B IDs, sessions, APIs and storage objects</t>
        </is>
      </c>
      <c r="L382" s="14" t="inlineStr">
        <is>
          <t xml:space="preserve">CSP, HSTS, frame, MIME and referrer policies meet deployment requirements.</t>
        </is>
      </c>
      <c r="M382" s="14" t="inlineStr">
        <is>
          <t xml:space="preserve">Candidate</t>
        </is>
      </c>
      <c r="N382" s="14" t="inlineStr">
        <is>
          <t xml:space="preserve">Yes</t>
        </is>
      </c>
      <c r="O382" s="14" t="inlineStr">
        <is>
          <t xml:space="preserve">Active</t>
        </is>
      </c>
      <c r="P382" s="14"/>
    </row>
    <row r="383">
      <c r="A383" s="14" t="inlineStr">
        <is>
          <t xml:space="preserve">RR-0403</t>
        </is>
      </c>
      <c r="B383" s="14" t="inlineStr">
        <is>
          <t xml:space="preserve">Security &amp; Multi-tenancy</t>
        </is>
      </c>
      <c r="C383" s="14" t="inlineStr">
        <is>
          <t xml:space="preserve">Application and data security</t>
        </is>
      </c>
      <c r="D383" s="14" t="inlineStr">
        <is>
          <t xml:space="preserve">Security</t>
        </is>
      </c>
      <c r="E383" s="14" t="inlineStr">
        <is>
          <t xml:space="preserve">Attempt clickjacking</t>
        </is>
      </c>
      <c r="F383" s="14" t="inlineStr">
        <is>
          <t xml:space="preserve">High</t>
        </is>
      </c>
      <c r="G383" s="14" t="inlineStr">
        <is>
          <t xml:space="preserve">Medium</t>
        </is>
      </c>
      <c r="H383" s="14" t="inlineStr">
        <is>
          <t xml:space="preserve">Beta</t>
        </is>
      </c>
      <c r="I383" s="14" t="inlineStr">
        <is>
          <t xml:space="preserve">Two isolated organisations with users, locations and employees; security test environment.</t>
        </is>
      </c>
      <c r="J383" s="14" t="inlineStr">
        <is>
          <t xml:space="preserve">1. Prepare the stated preconditions and sign in with the required role.
2. Navigate to Application and data security.
3. Execute: Attempt clickjacking.
4. Refresh or reopen the relevant page and inspect persisted data.
5. Verify UI feedback, permissions, notifications and audit records where applicable.</t>
        </is>
      </c>
      <c r="K383" s="14" t="inlineStr">
        <is>
          <t xml:space="preserve">Org A and Org B IDs, sessions, APIs and storage objects</t>
        </is>
      </c>
      <c r="L383" s="14" t="inlineStr">
        <is>
          <t xml:space="preserve">App/admin surfaces cannot be embedded by untrusted origins.</t>
        </is>
      </c>
      <c r="M383" s="14" t="inlineStr">
        <is>
          <t xml:space="preserve">Candidate</t>
        </is>
      </c>
      <c r="N383" s="14" t="inlineStr">
        <is>
          <t xml:space="preserve">Yes</t>
        </is>
      </c>
      <c r="O383" s="14" t="inlineStr">
        <is>
          <t xml:space="preserve">Active</t>
        </is>
      </c>
      <c r="P383" s="14"/>
    </row>
    <row r="384">
      <c r="A384" s="14" t="inlineStr">
        <is>
          <t xml:space="preserve">RR-0404</t>
        </is>
      </c>
      <c r="B384" s="14" t="inlineStr">
        <is>
          <t xml:space="preserve">Security &amp; Multi-tenancy</t>
        </is>
      </c>
      <c r="C384" s="14" t="inlineStr">
        <is>
          <t xml:space="preserve">Application and data security</t>
        </is>
      </c>
      <c r="D384" s="14" t="inlineStr">
        <is>
          <t xml:space="preserve">Security</t>
        </is>
      </c>
      <c r="E384" s="14" t="inlineStr">
        <is>
          <t xml:space="preserve">Access object storage with a guessed path</t>
        </is>
      </c>
      <c r="F384" s="14" t="inlineStr">
        <is>
          <t xml:space="preserve">Critical</t>
        </is>
      </c>
      <c r="G384" s="14" t="inlineStr">
        <is>
          <t xml:space="preserve">Medium</t>
        </is>
      </c>
      <c r="H384" s="14" t="inlineStr">
        <is>
          <t xml:space="preserve">Beta</t>
        </is>
      </c>
      <c r="I384" s="14" t="inlineStr">
        <is>
          <t xml:space="preserve">Two isolated organisations with users, locations and employees; security test environment.</t>
        </is>
      </c>
      <c r="J384" s="14" t="inlineStr">
        <is>
          <t xml:space="preserve">1. Prepare the stated preconditions and sign in with the required role.
2. Navigate to Application and data security.
3. Execute: Access object storage with a guessed path.
4. Refresh or reopen the relevant page and inspect persisted data.
5. Verify UI feedback, permissions, notifications and audit records where applicable.</t>
        </is>
      </c>
      <c r="K384" s="14" t="inlineStr">
        <is>
          <t xml:space="preserve">Org A and Org B IDs, sessions, APIs and storage objects</t>
        </is>
      </c>
      <c r="L384" s="14" t="inlineStr">
        <is>
          <t xml:space="preserve">Tenant/private files require authorised signed access.</t>
        </is>
      </c>
      <c r="M384" s="14" t="inlineStr">
        <is>
          <t xml:space="preserve">Candidate</t>
        </is>
      </c>
      <c r="N384" s="14" t="inlineStr">
        <is>
          <t xml:space="preserve">Yes</t>
        </is>
      </c>
      <c r="O384" s="14" t="inlineStr">
        <is>
          <t xml:space="preserve">Active</t>
        </is>
      </c>
      <c r="P384" s="14"/>
    </row>
    <row r="385">
      <c r="A385" s="14" t="inlineStr">
        <is>
          <t xml:space="preserve">RR-0405</t>
        </is>
      </c>
      <c r="B385" s="14" t="inlineStr">
        <is>
          <t xml:space="preserve">Security &amp; Multi-tenancy</t>
        </is>
      </c>
      <c r="C385" s="14" t="inlineStr">
        <is>
          <t xml:space="preserve">Application and data security</t>
        </is>
      </c>
      <c r="D385" s="14" t="inlineStr">
        <is>
          <t xml:space="preserve">Security</t>
        </is>
      </c>
      <c r="E385" s="14" t="inlineStr">
        <is>
          <t xml:space="preserve">Sensitive fields appear in logs</t>
        </is>
      </c>
      <c r="F385" s="14" t="inlineStr">
        <is>
          <t xml:space="preserve">Critical</t>
        </is>
      </c>
      <c r="G385" s="14" t="inlineStr">
        <is>
          <t xml:space="preserve">Medium</t>
        </is>
      </c>
      <c r="H385" s="14" t="inlineStr">
        <is>
          <t xml:space="preserve">Beta</t>
        </is>
      </c>
      <c r="I385" s="14" t="inlineStr">
        <is>
          <t xml:space="preserve">Two isolated organisations with users, locations and employees; security test environment.</t>
        </is>
      </c>
      <c r="J385" s="14" t="inlineStr">
        <is>
          <t xml:space="preserve">1. Prepare the stated preconditions and sign in with the required role.
2. Navigate to Application and data security.
3. Execute: Sensitive fields appear in logs.
4. Refresh or reopen the relevant page and inspect persisted data.
5. Verify UI feedback, permissions, notifications and audit records where applicable.</t>
        </is>
      </c>
      <c r="K385" s="14" t="inlineStr">
        <is>
          <t xml:space="preserve">Org A and Org B IDs, sessions, APIs and storage objects</t>
        </is>
      </c>
      <c r="L385" s="14" t="inlineStr">
        <is>
          <t xml:space="preserve">Passwords, tokens, AES keys, full payment data and private notes are redacted.</t>
        </is>
      </c>
      <c r="M385" s="14" t="inlineStr">
        <is>
          <t xml:space="preserve">Candidate</t>
        </is>
      </c>
      <c r="N385" s="14" t="inlineStr">
        <is>
          <t xml:space="preserve">Yes</t>
        </is>
      </c>
      <c r="O385" s="14" t="inlineStr">
        <is>
          <t xml:space="preserve">Active</t>
        </is>
      </c>
      <c r="P385" s="14"/>
    </row>
    <row r="386">
      <c r="A386" s="14" t="inlineStr">
        <is>
          <t xml:space="preserve">RR-0406</t>
        </is>
      </c>
      <c r="B386" s="14" t="inlineStr">
        <is>
          <t xml:space="preserve">Security &amp; Multi-tenancy</t>
        </is>
      </c>
      <c r="C386" s="14" t="inlineStr">
        <is>
          <t xml:space="preserve">Application and data security</t>
        </is>
      </c>
      <c r="D386" s="14" t="inlineStr">
        <is>
          <t xml:space="preserve">Security</t>
        </is>
      </c>
      <c r="E386" s="14" t="inlineStr">
        <is>
          <t xml:space="preserve">Delete/update request bypasses UI confirmation</t>
        </is>
      </c>
      <c r="F386" s="14" t="inlineStr">
        <is>
          <t xml:space="preserve">Critical</t>
        </is>
      </c>
      <c r="G386" s="14" t="inlineStr">
        <is>
          <t xml:space="preserve">Medium</t>
        </is>
      </c>
      <c r="H386" s="14" t="inlineStr">
        <is>
          <t xml:space="preserve">Beta</t>
        </is>
      </c>
      <c r="I386" s="14" t="inlineStr">
        <is>
          <t xml:space="preserve">Two isolated organisations with users, locations and employees; security test environment.</t>
        </is>
      </c>
      <c r="J386" s="14" t="inlineStr">
        <is>
          <t xml:space="preserve">1. Prepare the stated preconditions and sign in with the required role.
2. Navigate to Application and data security.
3. Execute: Delete/update request bypasses UI confirmation.
4. Refresh or reopen the relevant page and inspect persisted data.
5. Verify UI feedback, permissions, notifications and audit records where applicable.</t>
        </is>
      </c>
      <c r="K386" s="14" t="inlineStr">
        <is>
          <t xml:space="preserve">Org A and Org B IDs, sessions, APIs and storage objects</t>
        </is>
      </c>
      <c r="L386" s="14" t="inlineStr">
        <is>
          <t xml:space="preserve">Server still enforces authorisation and invariants.</t>
        </is>
      </c>
      <c r="M386" s="14" t="inlineStr">
        <is>
          <t xml:space="preserve">Candidate</t>
        </is>
      </c>
      <c r="N386" s="14" t="inlineStr">
        <is>
          <t xml:space="preserve">Yes</t>
        </is>
      </c>
      <c r="O386" s="14" t="inlineStr">
        <is>
          <t xml:space="preserve">Active</t>
        </is>
      </c>
      <c r="P386" s="14"/>
    </row>
    <row r="387">
      <c r="A387" s="14" t="inlineStr">
        <is>
          <t xml:space="preserve">RR-0407</t>
        </is>
      </c>
      <c r="B387" s="14" t="inlineStr">
        <is>
          <t xml:space="preserve">Security &amp; Multi-tenancy</t>
        </is>
      </c>
      <c r="C387" s="14" t="inlineStr">
        <is>
          <t xml:space="preserve">Application and data security</t>
        </is>
      </c>
      <c r="D387" s="14" t="inlineStr">
        <is>
          <t xml:space="preserve">Security</t>
        </is>
      </c>
      <c r="E387" s="14" t="inlineStr">
        <is>
          <t xml:space="preserve">CORS request originates from an untrusted domain</t>
        </is>
      </c>
      <c r="F387" s="14" t="inlineStr">
        <is>
          <t xml:space="preserve">Critical</t>
        </is>
      </c>
      <c r="G387" s="14" t="inlineStr">
        <is>
          <t xml:space="preserve">Medium</t>
        </is>
      </c>
      <c r="H387" s="14" t="inlineStr">
        <is>
          <t xml:space="preserve">Beta</t>
        </is>
      </c>
      <c r="I387" s="14" t="inlineStr">
        <is>
          <t xml:space="preserve">Two isolated organisations with users, locations and employees; security test environment.</t>
        </is>
      </c>
      <c r="J387" s="14" t="inlineStr">
        <is>
          <t xml:space="preserve">1. Prepare the stated preconditions and sign in with the required role.
2. Navigate to Application and data security.
3. Execute: CORS request originates from an untrusted domain.
4. Refresh or reopen the relevant page and inspect persisted data.
5. Verify UI feedback, permissions, notifications and audit records where applicable.</t>
        </is>
      </c>
      <c r="K387" s="14" t="inlineStr">
        <is>
          <t xml:space="preserve">Org A and Org B IDs, sessions, APIs and storage objects</t>
        </is>
      </c>
      <c r="L387" s="14" t="inlineStr">
        <is>
          <t xml:space="preserve">Request is rejected; trusted origins include only approved domains.</t>
        </is>
      </c>
      <c r="M387" s="14" t="inlineStr">
        <is>
          <t xml:space="preserve">Candidate</t>
        </is>
      </c>
      <c r="N387" s="14" t="inlineStr">
        <is>
          <t xml:space="preserve">Yes</t>
        </is>
      </c>
      <c r="O387" s="14" t="inlineStr">
        <is>
          <t xml:space="preserve">Active</t>
        </is>
      </c>
      <c r="P387" s="14"/>
    </row>
    <row r="388">
      <c r="A388" s="14" t="inlineStr">
        <is>
          <t xml:space="preserve">RR-0408</t>
        </is>
      </c>
      <c r="B388" s="14" t="inlineStr">
        <is>
          <t xml:space="preserve">Security &amp; Multi-tenancy</t>
        </is>
      </c>
      <c r="C388" s="14" t="inlineStr">
        <is>
          <t xml:space="preserve">Application and data security</t>
        </is>
      </c>
      <c r="D388" s="14" t="inlineStr">
        <is>
          <t xml:space="preserve">Security</t>
        </is>
      </c>
      <c r="E388" s="14" t="inlineStr">
        <is>
          <t xml:space="preserve">Clock endpoint receives a high request rate</t>
        </is>
      </c>
      <c r="F388" s="14" t="inlineStr">
        <is>
          <t xml:space="preserve">High</t>
        </is>
      </c>
      <c r="G388" s="14" t="inlineStr">
        <is>
          <t xml:space="preserve">Medium</t>
        </is>
      </c>
      <c r="H388" s="14" t="inlineStr">
        <is>
          <t xml:space="preserve">Beta</t>
        </is>
      </c>
      <c r="I388" s="14" t="inlineStr">
        <is>
          <t xml:space="preserve">Two isolated organisations with users, locations and employees; security test environment.</t>
        </is>
      </c>
      <c r="J388" s="14" t="inlineStr">
        <is>
          <t xml:space="preserve">1. Prepare the stated preconditions and sign in with the required role.
2. Navigate to Application and data security.
3. Execute: Clock endpoint receives a high request rate.
4. Refresh or reopen the relevant page and inspect persisted data.
5. Verify UI feedback, permissions, notifications and audit records where applicable.</t>
        </is>
      </c>
      <c r="K388" s="14" t="inlineStr">
        <is>
          <t xml:space="preserve">Org A and Org B IDs, sessions, APIs and storage objects</t>
        </is>
      </c>
      <c r="L388" s="14" t="inlineStr">
        <is>
          <t xml:space="preserve">Rate limiting protects validation infrastructure without blocking normal use.</t>
        </is>
      </c>
      <c r="M388" s="14" t="inlineStr">
        <is>
          <t xml:space="preserve">Candidate</t>
        </is>
      </c>
      <c r="N388" s="14" t="inlineStr">
        <is>
          <t xml:space="preserve">Yes</t>
        </is>
      </c>
      <c r="O388" s="14" t="inlineStr">
        <is>
          <t xml:space="preserve">Active</t>
        </is>
      </c>
      <c r="P388" s="14"/>
    </row>
    <row r="389">
      <c r="A389" s="14" t="inlineStr">
        <is>
          <t xml:space="preserve">RR-0409</t>
        </is>
      </c>
      <c r="B389" s="14" t="inlineStr">
        <is>
          <t xml:space="preserve">Security &amp; Multi-tenancy</t>
        </is>
      </c>
      <c r="C389" s="14" t="inlineStr">
        <is>
          <t xml:space="preserve">Application and data security</t>
        </is>
      </c>
      <c r="D389" s="14" t="inlineStr">
        <is>
          <t xml:space="preserve">Security</t>
        </is>
      </c>
      <c r="E389" s="14" t="inlineStr">
        <is>
          <t xml:space="preserve">Dependency vulnerability scan</t>
        </is>
      </c>
      <c r="F389" s="14" t="inlineStr">
        <is>
          <t xml:space="preserve">Critical</t>
        </is>
      </c>
      <c r="G389" s="14" t="inlineStr">
        <is>
          <t xml:space="preserve">Medium</t>
        </is>
      </c>
      <c r="H389" s="14" t="inlineStr">
        <is>
          <t xml:space="preserve">Beta</t>
        </is>
      </c>
      <c r="I389" s="14" t="inlineStr">
        <is>
          <t xml:space="preserve">Two isolated organisations with users, locations and employees; security test environment.</t>
        </is>
      </c>
      <c r="J389" s="14" t="inlineStr">
        <is>
          <t xml:space="preserve">1. Prepare the stated preconditions and sign in with the required role.
2. Navigate to Application and data security.
3. Execute: Dependency vulnerability scan.
4. Refresh or reopen the relevant page and inspect persisted data.
5. Verify UI feedback, permissions, notifications and audit records where applicable.</t>
        </is>
      </c>
      <c r="K389" s="14" t="inlineStr">
        <is>
          <t xml:space="preserve">Org A and Org B IDs, sessions, APIs and storage objects</t>
        </is>
      </c>
      <c r="L389" s="14" t="inlineStr">
        <is>
          <t xml:space="preserve">No unresolved critical/high production vulnerability violates release policy.</t>
        </is>
      </c>
      <c r="M389" s="14" t="inlineStr">
        <is>
          <t xml:space="preserve">Candidate</t>
        </is>
      </c>
      <c r="N389" s="14" t="inlineStr">
        <is>
          <t xml:space="preserve">Yes</t>
        </is>
      </c>
      <c r="O389" s="14" t="inlineStr">
        <is>
          <t xml:space="preserve">Active</t>
        </is>
      </c>
      <c r="P389" s="14"/>
    </row>
    <row r="390">
      <c r="A390" s="14" t="inlineStr">
        <is>
          <t xml:space="preserve">RR-0410</t>
        </is>
      </c>
      <c r="B390" s="14" t="inlineStr">
        <is>
          <t xml:space="preserve">Security &amp; Multi-tenancy</t>
        </is>
      </c>
      <c r="C390" s="14" t="inlineStr">
        <is>
          <t xml:space="preserve">Application and data security</t>
        </is>
      </c>
      <c r="D390" s="14" t="inlineStr">
        <is>
          <t xml:space="preserve">Security</t>
        </is>
      </c>
      <c r="E390" s="14" t="inlineStr">
        <is>
          <t xml:space="preserve">Data in transit and at rest</t>
        </is>
      </c>
      <c r="F390" s="14" t="inlineStr">
        <is>
          <t xml:space="preserve">Critical</t>
        </is>
      </c>
      <c r="G390" s="14" t="inlineStr">
        <is>
          <t xml:space="preserve">Medium</t>
        </is>
      </c>
      <c r="H390" s="14" t="inlineStr">
        <is>
          <t xml:space="preserve">Beta</t>
        </is>
      </c>
      <c r="I390" s="14" t="inlineStr">
        <is>
          <t xml:space="preserve">Two isolated organisations with users, locations and employees; security test environment.</t>
        </is>
      </c>
      <c r="J390" s="14" t="inlineStr">
        <is>
          <t xml:space="preserve">1. Prepare the stated preconditions and sign in with the required role.
2. Navigate to Application and data security.
3. Execute: Data in transit and at rest.
4. Refresh or reopen the relevant page and inspect persisted data.
5. Verify UI feedback, permissions, notifications and audit records where applicable.</t>
        </is>
      </c>
      <c r="K390" s="14" t="inlineStr">
        <is>
          <t xml:space="preserve">Org A and Org B IDs, sessions, APIs and storage objects</t>
        </is>
      </c>
      <c r="L390" s="14" t="inlineStr">
        <is>
          <t xml:space="preserve">TLS is enforced and provider/database encryption configuration meets policy.</t>
        </is>
      </c>
      <c r="M390" s="14" t="inlineStr">
        <is>
          <t xml:space="preserve">Candidate</t>
        </is>
      </c>
      <c r="N390" s="14" t="inlineStr">
        <is>
          <t xml:space="preserve">Yes</t>
        </is>
      </c>
      <c r="O390" s="14" t="inlineStr">
        <is>
          <t xml:space="preserve">Active</t>
        </is>
      </c>
      <c r="P390" s="14"/>
    </row>
    <row r="391">
      <c r="A391" s="14" t="inlineStr">
        <is>
          <t xml:space="preserve">RR-0411</t>
        </is>
      </c>
      <c r="B391" s="14" t="inlineStr">
        <is>
          <t xml:space="preserve">Accessibility &amp; Usability</t>
        </is>
      </c>
      <c r="C391" s="14" t="inlineStr">
        <is>
          <t xml:space="preserve">Keyboard, screen reader and visual access</t>
        </is>
      </c>
      <c r="D391" s="14" t="inlineStr">
        <is>
          <t xml:space="preserve">Accessibility</t>
        </is>
      </c>
      <c r="E391" s="14" t="inlineStr">
        <is>
          <t xml:space="preserve">Navigate core app using keyboard only</t>
        </is>
      </c>
      <c r="F391" s="14" t="inlineStr">
        <is>
          <t xml:space="preserve">Critical</t>
        </is>
      </c>
      <c r="G391" s="14" t="inlineStr">
        <is>
          <t xml:space="preserve">Medium</t>
        </is>
      </c>
      <c r="H391" s="14" t="inlineStr">
        <is>
          <t xml:space="preserve">Beta</t>
        </is>
      </c>
      <c r="I391" s="14" t="inlineStr">
        <is>
          <t xml:space="preserve">Current staging build; keyboard and screen-reader testing tools available.</t>
        </is>
      </c>
      <c r="J391" s="14" t="inlineStr">
        <is>
          <t xml:space="preserve">1. Prepare the stated preconditions and sign in with the required role.
2. Navigate to Keyboard, screen reader and visual access.
3. Execute: Navigate core app using keyboard only.
4. Refresh or reopen the relevant page and inspect persisted data.
5. Verify UI feedback, permissions, notifications and audit records where applicable.</t>
        </is>
      </c>
      <c r="K391" s="14" t="inlineStr">
        <is>
          <t xml:space="preserve">Keyboard-only, 200% zoom, screen-reader and reduced-motion</t>
        </is>
      </c>
      <c r="L391" s="14" t="inlineStr">
        <is>
          <t xml:space="preserve">All interactive controls are reachable in logical order with visible focus.</t>
        </is>
      </c>
      <c r="M391" s="14" t="inlineStr">
        <is>
          <t xml:space="preserve">Candidate</t>
        </is>
      </c>
      <c r="N391" s="14" t="inlineStr">
        <is>
          <t xml:space="preserve">Yes</t>
        </is>
      </c>
      <c r="O391" s="14" t="inlineStr">
        <is>
          <t xml:space="preserve">Active</t>
        </is>
      </c>
      <c r="P391" s="14"/>
    </row>
    <row r="392">
      <c r="A392" s="14" t="inlineStr">
        <is>
          <t xml:space="preserve">RR-0412</t>
        </is>
      </c>
      <c r="B392" s="14" t="inlineStr">
        <is>
          <t xml:space="preserve">Accessibility &amp; Usability</t>
        </is>
      </c>
      <c r="C392" s="14" t="inlineStr">
        <is>
          <t xml:space="preserve">Keyboard, screen reader and visual access</t>
        </is>
      </c>
      <c r="D392" s="14" t="inlineStr">
        <is>
          <t xml:space="preserve">Accessibility</t>
        </is>
      </c>
      <c r="E392" s="14" t="inlineStr">
        <is>
          <t xml:space="preserve">Operate mobile/desktop navigation and dialogs by keyboard</t>
        </is>
      </c>
      <c r="F392" s="14" t="inlineStr">
        <is>
          <t xml:space="preserve">High</t>
        </is>
      </c>
      <c r="G392" s="14" t="inlineStr">
        <is>
          <t xml:space="preserve">Medium</t>
        </is>
      </c>
      <c r="H392" s="14" t="inlineStr">
        <is>
          <t xml:space="preserve">Beta</t>
        </is>
      </c>
      <c r="I392" s="14" t="inlineStr">
        <is>
          <t xml:space="preserve">Current staging build; keyboard and screen-reader testing tools available.</t>
        </is>
      </c>
      <c r="J392" s="14" t="inlineStr">
        <is>
          <t xml:space="preserve">1. Prepare the stated preconditions and sign in with the required role.
2. Navigate to Keyboard, screen reader and visual access.
3. Execute: Operate mobile/desktop navigation and dialogs by keyboard.
4. Refresh or reopen the relevant page and inspect persisted data.
5. Verify UI feedback, permissions, notifications and audit records where applicable.</t>
        </is>
      </c>
      <c r="K392" s="14" t="inlineStr">
        <is>
          <t xml:space="preserve">Keyboard-only, 200% zoom, screen-reader and reduced-motion</t>
        </is>
      </c>
      <c r="L392" s="14" t="inlineStr">
        <is>
          <t xml:space="preserve">Menus trap/restore focus correctly and Escape closes supported dialogs.</t>
        </is>
      </c>
      <c r="M392" s="14" t="inlineStr">
        <is>
          <t xml:space="preserve">Candidate</t>
        </is>
      </c>
      <c r="N392" s="14" t="inlineStr">
        <is>
          <t xml:space="preserve">Yes</t>
        </is>
      </c>
      <c r="O392" s="14" t="inlineStr">
        <is>
          <t xml:space="preserve">Active</t>
        </is>
      </c>
      <c r="P392" s="14"/>
    </row>
    <row r="393">
      <c r="A393" s="14" t="inlineStr">
        <is>
          <t xml:space="preserve">RR-0413</t>
        </is>
      </c>
      <c r="B393" s="14" t="inlineStr">
        <is>
          <t xml:space="preserve">Accessibility &amp; Usability</t>
        </is>
      </c>
      <c r="C393" s="14" t="inlineStr">
        <is>
          <t xml:space="preserve">Keyboard, screen reader and visual access</t>
        </is>
      </c>
      <c r="D393" s="14" t="inlineStr">
        <is>
          <t xml:space="preserve">Accessibility</t>
        </is>
      </c>
      <c r="E393" s="14" t="inlineStr">
        <is>
          <t xml:space="preserve">Use a screen reader on sign-in and onboarding</t>
        </is>
      </c>
      <c r="F393" s="14" t="inlineStr">
        <is>
          <t xml:space="preserve">High</t>
        </is>
      </c>
      <c r="G393" s="14" t="inlineStr">
        <is>
          <t xml:space="preserve">Medium</t>
        </is>
      </c>
      <c r="H393" s="14" t="inlineStr">
        <is>
          <t xml:space="preserve">Beta</t>
        </is>
      </c>
      <c r="I393" s="14" t="inlineStr">
        <is>
          <t xml:space="preserve">Current staging build; keyboard and screen-reader testing tools available.</t>
        </is>
      </c>
      <c r="J393" s="14" t="inlineStr">
        <is>
          <t xml:space="preserve">1. Prepare the stated preconditions and sign in with the required role.
2. Navigate to Keyboard, screen reader and visual access.
3. Execute: Use a screen reader on sign-in and onboarding.
4. Refresh or reopen the relevant page and inspect persisted data.
5. Verify UI feedback, permissions, notifications and audit records where applicable.</t>
        </is>
      </c>
      <c r="K393" s="14" t="inlineStr">
        <is>
          <t xml:space="preserve">Keyboard-only, 200% zoom, screen-reader and reduced-motion</t>
        </is>
      </c>
      <c r="L393" s="14" t="inlineStr">
        <is>
          <t xml:space="preserve">Labels, errors, headings and progress are announced meaningfully.</t>
        </is>
      </c>
      <c r="M393" s="14" t="inlineStr">
        <is>
          <t xml:space="preserve">Candidate</t>
        </is>
      </c>
      <c r="N393" s="14" t="inlineStr">
        <is>
          <t xml:space="preserve">Yes</t>
        </is>
      </c>
      <c r="O393" s="14" t="inlineStr">
        <is>
          <t xml:space="preserve">Active</t>
        </is>
      </c>
      <c r="P393" s="14"/>
    </row>
    <row r="394">
      <c r="A394" s="14" t="inlineStr">
        <is>
          <t xml:space="preserve">RR-0414</t>
        </is>
      </c>
      <c r="B394" s="14" t="inlineStr">
        <is>
          <t xml:space="preserve">Accessibility &amp; Usability</t>
        </is>
      </c>
      <c r="C394" s="14" t="inlineStr">
        <is>
          <t xml:space="preserve">Keyboard, screen reader and visual access</t>
        </is>
      </c>
      <c r="D394" s="14" t="inlineStr">
        <is>
          <t xml:space="preserve">Accessibility</t>
        </is>
      </c>
      <c r="E394" s="14" t="inlineStr">
        <is>
          <t xml:space="preserve">Use a screen reader on rota builder</t>
        </is>
      </c>
      <c r="F394" s="14" t="inlineStr">
        <is>
          <t xml:space="preserve">Critical</t>
        </is>
      </c>
      <c r="G394" s="14" t="inlineStr">
        <is>
          <t xml:space="preserve">Medium</t>
        </is>
      </c>
      <c r="H394" s="14" t="inlineStr">
        <is>
          <t xml:space="preserve">Beta</t>
        </is>
      </c>
      <c r="I394" s="14" t="inlineStr">
        <is>
          <t xml:space="preserve">Current staging build; keyboard and screen-reader testing tools available.</t>
        </is>
      </c>
      <c r="J394" s="14" t="inlineStr">
        <is>
          <t xml:space="preserve">1. Prepare the stated preconditions and sign in with the required role.
2. Navigate to Keyboard, screen reader and visual access.
3. Execute: Use a screen reader on rota builder.
4. Refresh or reopen the relevant page and inspect persisted data.
5. Verify UI feedback, permissions, notifications and audit records where applicable.</t>
        </is>
      </c>
      <c r="K394" s="14" t="inlineStr">
        <is>
          <t xml:space="preserve">Keyboard-only, 200% zoom, screen-reader and reduced-motion</t>
        </is>
      </c>
      <c r="L394" s="14" t="inlineStr">
        <is>
          <t xml:space="preserve">Employee, day, shift and assignment actions have meaningful accessible names/alternatives.</t>
        </is>
      </c>
      <c r="M394" s="14" t="inlineStr">
        <is>
          <t xml:space="preserve">Candidate</t>
        </is>
      </c>
      <c r="N394" s="14" t="inlineStr">
        <is>
          <t xml:space="preserve">Yes</t>
        </is>
      </c>
      <c r="O394" s="14" t="inlineStr">
        <is>
          <t xml:space="preserve">Active</t>
        </is>
      </c>
      <c r="P394" s="14"/>
    </row>
    <row r="395">
      <c r="A395" s="14" t="inlineStr">
        <is>
          <t xml:space="preserve">RR-0415</t>
        </is>
      </c>
      <c r="B395" s="14" t="inlineStr">
        <is>
          <t xml:space="preserve">Accessibility &amp; Usability</t>
        </is>
      </c>
      <c r="C395" s="14" t="inlineStr">
        <is>
          <t xml:space="preserve">Keyboard, screen reader and visual access</t>
        </is>
      </c>
      <c r="D395" s="14" t="inlineStr">
        <is>
          <t xml:space="preserve">Accessibility</t>
        </is>
      </c>
      <c r="E395" s="14" t="inlineStr">
        <is>
          <t xml:space="preserve">Use a screen reader on clock page</t>
        </is>
      </c>
      <c r="F395" s="14" t="inlineStr">
        <is>
          <t xml:space="preserve">Critical</t>
        </is>
      </c>
      <c r="G395" s="14" t="inlineStr">
        <is>
          <t xml:space="preserve">Medium</t>
        </is>
      </c>
      <c r="H395" s="14" t="inlineStr">
        <is>
          <t xml:space="preserve">Beta</t>
        </is>
      </c>
      <c r="I395" s="14" t="inlineStr">
        <is>
          <t xml:space="preserve">Current staging build; keyboard and screen-reader testing tools available.</t>
        </is>
      </c>
      <c r="J395" s="14" t="inlineStr">
        <is>
          <t xml:space="preserve">1. Prepare the stated preconditions and sign in with the required role.
2. Navigate to Keyboard, screen reader and visual access.
3. Execute: Use a screen reader on clock page.
4. Refresh or reopen the relevant page and inspect persisted data.
5. Verify UI feedback, permissions, notifications and audit records where applicable.</t>
        </is>
      </c>
      <c r="K395" s="14" t="inlineStr">
        <is>
          <t xml:space="preserve">Keyboard-only, 200% zoom, screen-reader and reduced-motion</t>
        </is>
      </c>
      <c r="L395" s="14" t="inlineStr">
        <is>
          <t xml:space="preserve">Location, shift, status and clock action are announced; success/error is live-announced.</t>
        </is>
      </c>
      <c r="M395" s="14" t="inlineStr">
        <is>
          <t xml:space="preserve">Candidate</t>
        </is>
      </c>
      <c r="N395" s="14" t="inlineStr">
        <is>
          <t xml:space="preserve">Yes</t>
        </is>
      </c>
      <c r="O395" s="14" t="inlineStr">
        <is>
          <t xml:space="preserve">Active</t>
        </is>
      </c>
      <c r="P395" s="14"/>
    </row>
    <row r="396">
      <c r="A396" s="14" t="inlineStr">
        <is>
          <t xml:space="preserve">RR-0416</t>
        </is>
      </c>
      <c r="B396" s="14" t="inlineStr">
        <is>
          <t xml:space="preserve">Accessibility &amp; Usability</t>
        </is>
      </c>
      <c r="C396" s="14" t="inlineStr">
        <is>
          <t xml:space="preserve">Keyboard, screen reader and visual access</t>
        </is>
      </c>
      <c r="D396" s="14" t="inlineStr">
        <is>
          <t xml:space="preserve">Accessibility</t>
        </is>
      </c>
      <c r="E396" s="14" t="inlineStr">
        <is>
          <t xml:space="preserve">Zoom browser to 200%</t>
        </is>
      </c>
      <c r="F396" s="14" t="inlineStr">
        <is>
          <t xml:space="preserve">High</t>
        </is>
      </c>
      <c r="G396" s="14" t="inlineStr">
        <is>
          <t xml:space="preserve">Medium</t>
        </is>
      </c>
      <c r="H396" s="14" t="inlineStr">
        <is>
          <t xml:space="preserve">Beta</t>
        </is>
      </c>
      <c r="I396" s="14" t="inlineStr">
        <is>
          <t xml:space="preserve">Current staging build; keyboard and screen-reader testing tools available.</t>
        </is>
      </c>
      <c r="J396" s="14" t="inlineStr">
        <is>
          <t xml:space="preserve">1. Prepare the stated preconditions and sign in with the required role.
2. Navigate to Keyboard, screen reader and visual access.
3. Execute: Zoom browser to 200%.
4. Refresh or reopen the relevant page and inspect persisted data.
5. Verify UI feedback, permissions, notifications and audit records where applicable.</t>
        </is>
      </c>
      <c r="K396" s="14" t="inlineStr">
        <is>
          <t xml:space="preserve">Keyboard-only, 200% zoom, screen-reader and reduced-motion</t>
        </is>
      </c>
      <c r="L396" s="14" t="inlineStr">
        <is>
          <t xml:space="preserve">Core content remains usable without two-dimensional scrolling except complex rota grid where necessary.</t>
        </is>
      </c>
      <c r="M396" s="14" t="inlineStr">
        <is>
          <t xml:space="preserve">Candidate</t>
        </is>
      </c>
      <c r="N396" s="14" t="inlineStr">
        <is>
          <t xml:space="preserve">Yes</t>
        </is>
      </c>
      <c r="O396" s="14" t="inlineStr">
        <is>
          <t xml:space="preserve">Active</t>
        </is>
      </c>
      <c r="P396" s="14"/>
    </row>
    <row r="397">
      <c r="A397" s="14" t="inlineStr">
        <is>
          <t xml:space="preserve">RR-0417</t>
        </is>
      </c>
      <c r="B397" s="14" t="inlineStr">
        <is>
          <t xml:space="preserve">Accessibility &amp; Usability</t>
        </is>
      </c>
      <c r="C397" s="14" t="inlineStr">
        <is>
          <t xml:space="preserve">Keyboard, screen reader and visual access</t>
        </is>
      </c>
      <c r="D397" s="14" t="inlineStr">
        <is>
          <t xml:space="preserve">Accessibility</t>
        </is>
      </c>
      <c r="E397" s="14" t="inlineStr">
        <is>
          <t xml:space="preserve">Increase mobile text size</t>
        </is>
      </c>
      <c r="F397" s="14" t="inlineStr">
        <is>
          <t xml:space="preserve">High</t>
        </is>
      </c>
      <c r="G397" s="14" t="inlineStr">
        <is>
          <t xml:space="preserve">Medium</t>
        </is>
      </c>
      <c r="H397" s="14" t="inlineStr">
        <is>
          <t xml:space="preserve">Beta</t>
        </is>
      </c>
      <c r="I397" s="14" t="inlineStr">
        <is>
          <t xml:space="preserve">Current staging build; keyboard and screen-reader testing tools available.</t>
        </is>
      </c>
      <c r="J397" s="14" t="inlineStr">
        <is>
          <t xml:space="preserve">1. Prepare the stated preconditions and sign in with the required role.
2. Navigate to Keyboard, screen reader and visual access.
3. Execute: Increase mobile text size.
4. Refresh or reopen the relevant page and inspect persisted data.
5. Verify UI feedback, permissions, notifications and audit records where applicable.</t>
        </is>
      </c>
      <c r="K397" s="14" t="inlineStr">
        <is>
          <t xml:space="preserve">Keyboard-only, 200% zoom, screen-reader and reduced-motion</t>
        </is>
      </c>
      <c r="L397" s="14" t="inlineStr">
        <is>
          <t xml:space="preserve">Text does not clip or hide actions.</t>
        </is>
      </c>
      <c r="M397" s="14" t="inlineStr">
        <is>
          <t xml:space="preserve">Candidate</t>
        </is>
      </c>
      <c r="N397" s="14" t="inlineStr">
        <is>
          <t xml:space="preserve">Yes</t>
        </is>
      </c>
      <c r="O397" s="14" t="inlineStr">
        <is>
          <t xml:space="preserve">Active</t>
        </is>
      </c>
      <c r="P397" s="14"/>
    </row>
    <row r="398">
      <c r="A398" s="14" t="inlineStr">
        <is>
          <t xml:space="preserve">RR-0418</t>
        </is>
      </c>
      <c r="B398" s="14" t="inlineStr">
        <is>
          <t xml:space="preserve">Accessibility &amp; Usability</t>
        </is>
      </c>
      <c r="C398" s="14" t="inlineStr">
        <is>
          <t xml:space="preserve">Keyboard, screen reader and visual access</t>
        </is>
      </c>
      <c r="D398" s="14" t="inlineStr">
        <is>
          <t xml:space="preserve">Accessibility</t>
        </is>
      </c>
      <c r="E398" s="14" t="inlineStr">
        <is>
          <t xml:space="preserve">Use dark mode/high contrast settings</t>
        </is>
      </c>
      <c r="F398" s="14" t="inlineStr">
        <is>
          <t xml:space="preserve">Medium</t>
        </is>
      </c>
      <c r="G398" s="14" t="inlineStr">
        <is>
          <t xml:space="preserve">Medium</t>
        </is>
      </c>
      <c r="H398" s="14" t="inlineStr">
        <is>
          <t xml:space="preserve">Beta</t>
        </is>
      </c>
      <c r="I398" s="14" t="inlineStr">
        <is>
          <t xml:space="preserve">Current staging build; keyboard and screen-reader testing tools available.</t>
        </is>
      </c>
      <c r="J398" s="14" t="inlineStr">
        <is>
          <t xml:space="preserve">1. Prepare the stated preconditions and sign in with the required role.
2. Navigate to Keyboard, screen reader and visual access.
3. Execute: Use dark mode/high contrast settings.
4. Refresh or reopen the relevant page and inspect persisted data.
5. Verify UI feedback, permissions, notifications and audit records where applicable.</t>
        </is>
      </c>
      <c r="K398" s="14" t="inlineStr">
        <is>
          <t xml:space="preserve">Keyboard-only, 200% zoom, screen-reader and reduced-motion</t>
        </is>
      </c>
      <c r="L398" s="14" t="inlineStr">
        <is>
          <t xml:space="preserve">Text, controls and status indicators maintain readable contrast.</t>
        </is>
      </c>
      <c r="M398" s="14" t="inlineStr">
        <is>
          <t xml:space="preserve">Candidate</t>
        </is>
      </c>
      <c r="N398" s="14" t="inlineStr">
        <is>
          <t xml:space="preserve">No</t>
        </is>
      </c>
      <c r="O398" s="14" t="inlineStr">
        <is>
          <t xml:space="preserve">Active</t>
        </is>
      </c>
      <c r="P398" s="14"/>
    </row>
    <row r="399">
      <c r="A399" s="14" t="inlineStr">
        <is>
          <t xml:space="preserve">RR-0419</t>
        </is>
      </c>
      <c r="B399" s="14" t="inlineStr">
        <is>
          <t xml:space="preserve">Accessibility &amp; Usability</t>
        </is>
      </c>
      <c r="C399" s="14" t="inlineStr">
        <is>
          <t xml:space="preserve">Keyboard, screen reader and visual access</t>
        </is>
      </c>
      <c r="D399" s="14" t="inlineStr">
        <is>
          <t xml:space="preserve">Accessibility</t>
        </is>
      </c>
      <c r="E399" s="14" t="inlineStr">
        <is>
          <t xml:space="preserve">Status is communicated without colour alone</t>
        </is>
      </c>
      <c r="F399" s="14" t="inlineStr">
        <is>
          <t xml:space="preserve">High</t>
        </is>
      </c>
      <c r="G399" s="14" t="inlineStr">
        <is>
          <t xml:space="preserve">Medium</t>
        </is>
      </c>
      <c r="H399" s="14" t="inlineStr">
        <is>
          <t xml:space="preserve">Beta</t>
        </is>
      </c>
      <c r="I399" s="14" t="inlineStr">
        <is>
          <t xml:space="preserve">Current staging build; keyboard and screen-reader testing tools available.</t>
        </is>
      </c>
      <c r="J399" s="14" t="inlineStr">
        <is>
          <t xml:space="preserve">1. Prepare the stated preconditions and sign in with the required role.
2. Navigate to Keyboard, screen reader and visual access.
3. Execute: Status is communicated without colour alone.
4. Refresh or reopen the relevant page and inspect persisted data.
5. Verify UI feedback, permissions, notifications and audit records where applicable.</t>
        </is>
      </c>
      <c r="K399" s="14" t="inlineStr">
        <is>
          <t xml:space="preserve">Keyboard-only, 200% zoom, screen-reader and reduced-motion</t>
        </is>
      </c>
      <c r="L399" s="14" t="inlineStr">
        <is>
          <t xml:space="preserve">Text/icon labels distinguish passed, failed, draft, published and conflicts.</t>
        </is>
      </c>
      <c r="M399" s="14" t="inlineStr">
        <is>
          <t xml:space="preserve">Candidate</t>
        </is>
      </c>
      <c r="N399" s="14" t="inlineStr">
        <is>
          <t xml:space="preserve">Yes</t>
        </is>
      </c>
      <c r="O399" s="14" t="inlineStr">
        <is>
          <t xml:space="preserve">Active</t>
        </is>
      </c>
      <c r="P399" s="14"/>
    </row>
    <row r="400">
      <c r="A400" s="14" t="inlineStr">
        <is>
          <t xml:space="preserve">RR-0420</t>
        </is>
      </c>
      <c r="B400" s="14" t="inlineStr">
        <is>
          <t xml:space="preserve">Accessibility &amp; Usability</t>
        </is>
      </c>
      <c r="C400" s="14" t="inlineStr">
        <is>
          <t xml:space="preserve">Keyboard, screen reader and visual access</t>
        </is>
      </c>
      <c r="D400" s="14" t="inlineStr">
        <is>
          <t xml:space="preserve">Accessibility</t>
        </is>
      </c>
      <c r="E400" s="14" t="inlineStr">
        <is>
          <t xml:space="preserve">Reduced-motion preference is enabled</t>
        </is>
      </c>
      <c r="F400" s="14" t="inlineStr">
        <is>
          <t xml:space="preserve">Medium</t>
        </is>
      </c>
      <c r="G400" s="14" t="inlineStr">
        <is>
          <t xml:space="preserve">Medium</t>
        </is>
      </c>
      <c r="H400" s="14" t="inlineStr">
        <is>
          <t xml:space="preserve">Beta</t>
        </is>
      </c>
      <c r="I400" s="14" t="inlineStr">
        <is>
          <t xml:space="preserve">Current staging build; keyboard and screen-reader testing tools available.</t>
        </is>
      </c>
      <c r="J400" s="14" t="inlineStr">
        <is>
          <t xml:space="preserve">1. Prepare the stated preconditions and sign in with the required role.
2. Navigate to Keyboard, screen reader and visual access.
3. Execute: Reduced-motion preference is enabled.
4. Refresh or reopen the relevant page and inspect persisted data.
5. Verify UI feedback, permissions, notifications and audit records where applicable.</t>
        </is>
      </c>
      <c r="K400" s="14" t="inlineStr">
        <is>
          <t xml:space="preserve">Keyboard-only, 200% zoom, screen-reader and reduced-motion</t>
        </is>
      </c>
      <c r="L400" s="14" t="inlineStr">
        <is>
          <t xml:space="preserve">Non-essential animation is reduced and no information depends on motion.</t>
        </is>
      </c>
      <c r="M400" s="14" t="inlineStr">
        <is>
          <t xml:space="preserve">Candidate</t>
        </is>
      </c>
      <c r="N400" s="14" t="inlineStr">
        <is>
          <t xml:space="preserve">No</t>
        </is>
      </c>
      <c r="O400" s="14" t="inlineStr">
        <is>
          <t xml:space="preserve">Active</t>
        </is>
      </c>
      <c r="P400" s="14"/>
    </row>
    <row r="401">
      <c r="A401" s="14" t="inlineStr">
        <is>
          <t xml:space="preserve">RR-0421</t>
        </is>
      </c>
      <c r="B401" s="14" t="inlineStr">
        <is>
          <t xml:space="preserve">Accessibility &amp; Usability</t>
        </is>
      </c>
      <c r="C401" s="14" t="inlineStr">
        <is>
          <t xml:space="preserve">Keyboard, screen reader and visual access</t>
        </is>
      </c>
      <c r="D401" s="14" t="inlineStr">
        <is>
          <t xml:space="preserve">Accessibility</t>
        </is>
      </c>
      <c r="E401" s="14" t="inlineStr">
        <is>
          <t xml:space="preserve">Form contains validation errors</t>
        </is>
      </c>
      <c r="F401" s="14" t="inlineStr">
        <is>
          <t xml:space="preserve">High</t>
        </is>
      </c>
      <c r="G401" s="14" t="inlineStr">
        <is>
          <t xml:space="preserve">Medium</t>
        </is>
      </c>
      <c r="H401" s="14" t="inlineStr">
        <is>
          <t xml:space="preserve">Beta</t>
        </is>
      </c>
      <c r="I401" s="14" t="inlineStr">
        <is>
          <t xml:space="preserve">Current staging build; keyboard and screen-reader testing tools available.</t>
        </is>
      </c>
      <c r="J401" s="14" t="inlineStr">
        <is>
          <t xml:space="preserve">1. Prepare the stated preconditions and sign in with the required role.
2. Navigate to Keyboard, screen reader and visual access.
3. Execute: Form contains validation errors.
4. Refresh or reopen the relevant page and inspect persisted data.
5. Verify UI feedback, permissions, notifications and audit records where applicable.</t>
        </is>
      </c>
      <c r="K401" s="14" t="inlineStr">
        <is>
          <t xml:space="preserve">Keyboard-only, 200% zoom, screen-reader and reduced-motion</t>
        </is>
      </c>
      <c r="L401" s="14" t="inlineStr">
        <is>
          <t xml:space="preserve">Errors are linked to fields, summarised where useful and focus is managed.</t>
        </is>
      </c>
      <c r="M401" s="14" t="inlineStr">
        <is>
          <t xml:space="preserve">Candidate</t>
        </is>
      </c>
      <c r="N401" s="14" t="inlineStr">
        <is>
          <t xml:space="preserve">Yes</t>
        </is>
      </c>
      <c r="O401" s="14" t="inlineStr">
        <is>
          <t xml:space="preserve">Active</t>
        </is>
      </c>
      <c r="P401" s="14"/>
    </row>
    <row r="402">
      <c r="A402" s="14" t="inlineStr">
        <is>
          <t xml:space="preserve">RR-0422</t>
        </is>
      </c>
      <c r="B402" s="14" t="inlineStr">
        <is>
          <t xml:space="preserve">Accessibility &amp; Usability</t>
        </is>
      </c>
      <c r="C402" s="14" t="inlineStr">
        <is>
          <t xml:space="preserve">Keyboard, screen reader and visual access</t>
        </is>
      </c>
      <c r="D402" s="14" t="inlineStr">
        <is>
          <t xml:space="preserve">Usability</t>
        </is>
      </c>
      <c r="E402" s="14" t="inlineStr">
        <is>
          <t xml:space="preserve">Touch targets on mobile</t>
        </is>
      </c>
      <c r="F402" s="14" t="inlineStr">
        <is>
          <t xml:space="preserve">High</t>
        </is>
      </c>
      <c r="G402" s="14" t="inlineStr">
        <is>
          <t xml:space="preserve">Medium</t>
        </is>
      </c>
      <c r="H402" s="14" t="inlineStr">
        <is>
          <t xml:space="preserve">Beta</t>
        </is>
      </c>
      <c r="I402" s="14" t="inlineStr">
        <is>
          <t xml:space="preserve">Current staging build; keyboard and screen-reader testing tools available.</t>
        </is>
      </c>
      <c r="J402" s="14" t="inlineStr">
        <is>
          <t xml:space="preserve">1. Prepare the stated preconditions and sign in with the required role.
2. Navigate to Keyboard, screen reader and visual access.
3. Execute: Touch targets on mobile.
4. Refresh or reopen the relevant page and inspect persisted data.
5. Verify UI feedback, permissions, notifications and audit records where applicable.</t>
        </is>
      </c>
      <c r="K402" s="14" t="inlineStr">
        <is>
          <t xml:space="preserve">Keyboard-only, 200% zoom, screen-reader and reduced-motion</t>
        </is>
      </c>
      <c r="L402" s="14" t="inlineStr">
        <is>
          <t xml:space="preserve">Primary controls meet practical target size and spacing.</t>
        </is>
      </c>
      <c r="M402" s="14" t="inlineStr">
        <is>
          <t xml:space="preserve">Candidate</t>
        </is>
      </c>
      <c r="N402" s="14" t="inlineStr">
        <is>
          <t xml:space="preserve">Yes</t>
        </is>
      </c>
      <c r="O402" s="14" t="inlineStr">
        <is>
          <t xml:space="preserve">Active</t>
        </is>
      </c>
      <c r="P402" s="14"/>
    </row>
    <row r="403">
      <c r="A403" s="14" t="inlineStr">
        <is>
          <t xml:space="preserve">RR-0423</t>
        </is>
      </c>
      <c r="B403" s="14" t="inlineStr">
        <is>
          <t xml:space="preserve">Accessibility &amp; Usability</t>
        </is>
      </c>
      <c r="C403" s="14" t="inlineStr">
        <is>
          <t xml:space="preserve">Keyboard, screen reader and visual access</t>
        </is>
      </c>
      <c r="D403" s="14" t="inlineStr">
        <is>
          <t xml:space="preserve">Usability</t>
        </is>
      </c>
      <c r="E403" s="14" t="inlineStr">
        <is>
          <t xml:space="preserve">Destructive action confirmation</t>
        </is>
      </c>
      <c r="F403" s="14" t="inlineStr">
        <is>
          <t xml:space="preserve">High</t>
        </is>
      </c>
      <c r="G403" s="14" t="inlineStr">
        <is>
          <t xml:space="preserve">Medium</t>
        </is>
      </c>
      <c r="H403" s="14" t="inlineStr">
        <is>
          <t xml:space="preserve">Beta</t>
        </is>
      </c>
      <c r="I403" s="14" t="inlineStr">
        <is>
          <t xml:space="preserve">Current staging build; keyboard and screen-reader testing tools available.</t>
        </is>
      </c>
      <c r="J403" s="14" t="inlineStr">
        <is>
          <t xml:space="preserve">1. Prepare the stated preconditions and sign in with the required role.
2. Navigate to Keyboard, screen reader and visual access.
3. Execute: Destructive action confirmation.
4. Refresh or reopen the relevant page and inspect persisted data.
5. Verify UI feedback, permissions, notifications and audit records where applicable.</t>
        </is>
      </c>
      <c r="K403" s="14" t="inlineStr">
        <is>
          <t xml:space="preserve">Keyboard-only, 200% zoom, screen-reader and reduced-motion</t>
        </is>
      </c>
      <c r="L403" s="14" t="inlineStr">
        <is>
          <t xml:space="preserve">Copy clearly names the affected organisation/location/week and default focus is safe.</t>
        </is>
      </c>
      <c r="M403" s="14" t="inlineStr">
        <is>
          <t xml:space="preserve">Candidate</t>
        </is>
      </c>
      <c r="N403" s="14" t="inlineStr">
        <is>
          <t xml:space="preserve">Yes</t>
        </is>
      </c>
      <c r="O403" s="14" t="inlineStr">
        <is>
          <t xml:space="preserve">Active</t>
        </is>
      </c>
      <c r="P403" s="14"/>
    </row>
    <row r="404">
      <c r="A404" s="14" t="inlineStr">
        <is>
          <t xml:space="preserve">RR-0424</t>
        </is>
      </c>
      <c r="B404" s="14" t="inlineStr">
        <is>
          <t xml:space="preserve">Accessibility &amp; Usability</t>
        </is>
      </c>
      <c r="C404" s="14" t="inlineStr">
        <is>
          <t xml:space="preserve">Keyboard, screen reader and visual access</t>
        </is>
      </c>
      <c r="D404" s="14" t="inlineStr">
        <is>
          <t xml:space="preserve">Usability</t>
        </is>
      </c>
      <c r="E404" s="14" t="inlineStr">
        <is>
          <t xml:space="preserve">Empty/loading/error states</t>
        </is>
      </c>
      <c r="F404" s="14" t="inlineStr">
        <is>
          <t xml:space="preserve">Medium</t>
        </is>
      </c>
      <c r="G404" s="14" t="inlineStr">
        <is>
          <t xml:space="preserve">Medium</t>
        </is>
      </c>
      <c r="H404" s="14" t="inlineStr">
        <is>
          <t xml:space="preserve">Beta</t>
        </is>
      </c>
      <c r="I404" s="14" t="inlineStr">
        <is>
          <t xml:space="preserve">Current staging build; keyboard and screen-reader testing tools available.</t>
        </is>
      </c>
      <c r="J404" s="14" t="inlineStr">
        <is>
          <t xml:space="preserve">1. Prepare the stated preconditions and sign in with the required role.
2. Navigate to Keyboard, screen reader and visual access.
3. Execute: Empty/loading/error states.
4. Refresh or reopen the relevant page and inspect persisted data.
5. Verify UI feedback, permissions, notifications and audit records where applicable.</t>
        </is>
      </c>
      <c r="K404" s="14" t="inlineStr">
        <is>
          <t xml:space="preserve">Keyboard-only, 200% zoom, screen-reader and reduced-motion</t>
        </is>
      </c>
      <c r="L404" s="14" t="inlineStr">
        <is>
          <t xml:space="preserve">States explain what happened and offer an appropriate next action.</t>
        </is>
      </c>
      <c r="M404" s="14" t="inlineStr">
        <is>
          <t xml:space="preserve">Candidate</t>
        </is>
      </c>
      <c r="N404" s="14" t="inlineStr">
        <is>
          <t xml:space="preserve">No</t>
        </is>
      </c>
      <c r="O404" s="14" t="inlineStr">
        <is>
          <t xml:space="preserve">Active</t>
        </is>
      </c>
      <c r="P404" s="14"/>
    </row>
    <row r="405">
      <c r="A405" s="14" t="inlineStr">
        <is>
          <t xml:space="preserve">RR-0425</t>
        </is>
      </c>
      <c r="B405" s="14" t="inlineStr">
        <is>
          <t xml:space="preserve">Accessibility &amp; Usability</t>
        </is>
      </c>
      <c r="C405" s="14" t="inlineStr">
        <is>
          <t xml:space="preserve">Keyboard, screen reader and visual access</t>
        </is>
      </c>
      <c r="D405" s="14" t="inlineStr">
        <is>
          <t xml:space="preserve">Usability</t>
        </is>
      </c>
      <c r="E405" s="14" t="inlineStr">
        <is>
          <t xml:space="preserve">Date/time wording</t>
        </is>
      </c>
      <c r="F405" s="14" t="inlineStr">
        <is>
          <t xml:space="preserve">High</t>
        </is>
      </c>
      <c r="G405" s="14" t="inlineStr">
        <is>
          <t xml:space="preserve">Medium</t>
        </is>
      </c>
      <c r="H405" s="14" t="inlineStr">
        <is>
          <t xml:space="preserve">Beta</t>
        </is>
      </c>
      <c r="I405" s="14" t="inlineStr">
        <is>
          <t xml:space="preserve">Current staging build; keyboard and screen-reader testing tools available.</t>
        </is>
      </c>
      <c r="J405" s="14" t="inlineStr">
        <is>
          <t xml:space="preserve">1. Prepare the stated preconditions and sign in with the required role.
2. Navigate to Keyboard, screen reader and visual access.
3. Execute: Date/time wording.
4. Refresh or reopen the relevant page and inspect persisted data.
5. Verify UI feedback, permissions, notifications and audit records where applicable.</t>
        </is>
      </c>
      <c r="K405" s="14" t="inlineStr">
        <is>
          <t xml:space="preserve">Keyboard-only, 200% zoom, screen-reader and reduced-motion</t>
        </is>
      </c>
      <c r="L405" s="14" t="inlineStr">
        <is>
          <t xml:space="preserve">Dates, timezones, overnight endings and 'to close' are unambiguous.</t>
        </is>
      </c>
      <c r="M405" s="14" t="inlineStr">
        <is>
          <t xml:space="preserve">Candidate</t>
        </is>
      </c>
      <c r="N405" s="14" t="inlineStr">
        <is>
          <t xml:space="preserve">Yes</t>
        </is>
      </c>
      <c r="O405" s="14" t="inlineStr">
        <is>
          <t xml:space="preserve">Active</t>
        </is>
      </c>
      <c r="P405" s="14"/>
    </row>
    <row r="406">
      <c r="A406" s="14" t="inlineStr">
        <is>
          <t xml:space="preserve">RR-0426</t>
        </is>
      </c>
      <c r="B406" s="14" t="inlineStr">
        <is>
          <t xml:space="preserve">Accessibility &amp; Usability</t>
        </is>
      </c>
      <c r="C406" s="14" t="inlineStr">
        <is>
          <t xml:space="preserve">Keyboard, screen reader and visual access</t>
        </is>
      </c>
      <c r="D406" s="14" t="inlineStr">
        <is>
          <t xml:space="preserve">Compatibility</t>
        </is>
      </c>
      <c r="E406" s="14" t="inlineStr">
        <is>
          <t xml:space="preserve">Use localisation-sensitive names and formats</t>
        </is>
      </c>
      <c r="F406" s="14" t="inlineStr">
        <is>
          <t xml:space="preserve">Medium</t>
        </is>
      </c>
      <c r="G406" s="14" t="inlineStr">
        <is>
          <t xml:space="preserve">Medium</t>
        </is>
      </c>
      <c r="H406" s="14" t="inlineStr">
        <is>
          <t xml:space="preserve">Beta</t>
        </is>
      </c>
      <c r="I406" s="14" t="inlineStr">
        <is>
          <t xml:space="preserve">Current staging build; keyboard and screen-reader testing tools available.</t>
        </is>
      </c>
      <c r="J406" s="14" t="inlineStr">
        <is>
          <t xml:space="preserve">1. Prepare the stated preconditions and sign in with the required role.
2. Navigate to Keyboard, screen reader and visual access.
3. Execute: Use localisation-sensitive names and formats.
4. Refresh or reopen the relevant page and inspect persisted data.
5. Verify UI feedback, permissions, notifications and audit records where applicable.</t>
        </is>
      </c>
      <c r="K406" s="14" t="inlineStr">
        <is>
          <t xml:space="preserve">Keyboard-only, 200% zoom, screen-reader and reduced-motion</t>
        </is>
      </c>
      <c r="L406" s="14" t="inlineStr">
        <is>
          <t xml:space="preserve">Names render correctly and UK date/time/currency formats are consistent.</t>
        </is>
      </c>
      <c r="M406" s="14" t="inlineStr">
        <is>
          <t xml:space="preserve">Candidate</t>
        </is>
      </c>
      <c r="N406" s="14" t="inlineStr">
        <is>
          <t xml:space="preserve">No</t>
        </is>
      </c>
      <c r="O406" s="14" t="inlineStr">
        <is>
          <t xml:space="preserve">Active</t>
        </is>
      </c>
      <c r="P406" s="14"/>
    </row>
    <row r="407">
      <c r="A407" s="14" t="inlineStr">
        <is>
          <t xml:space="preserve">RR-0427</t>
        </is>
      </c>
      <c r="B407" s="14" t="inlineStr">
        <is>
          <t xml:space="preserve">Performance &amp; Reliability</t>
        </is>
      </c>
      <c r="C407" s="14" t="inlineStr">
        <is>
          <t xml:space="preserve">Performance</t>
        </is>
      </c>
      <c r="D407" s="14" t="inlineStr">
        <is>
          <t xml:space="preserve">Performance</t>
        </is>
      </c>
      <c r="E407" s="14" t="inlineStr">
        <is>
          <t xml:space="preserve">Load dashboard for typical 40-employee bar</t>
        </is>
      </c>
      <c r="F407" s="14" t="inlineStr">
        <is>
          <t xml:space="preserve">High</t>
        </is>
      </c>
      <c r="G407" s="14" t="inlineStr">
        <is>
          <t xml:space="preserve">Medium</t>
        </is>
      </c>
      <c r="H407" s="14" t="inlineStr">
        <is>
          <t xml:space="preserve">Beta</t>
        </is>
      </c>
      <c r="I407" s="14" t="inlineStr">
        <is>
          <t xml:space="preserve">Seeded large organisation; monitoring enabled; load-test environment isolated from production.</t>
        </is>
      </c>
      <c r="J407" s="14" t="inlineStr">
        <is>
          <t xml:space="preserve">1. Prepare the stated preconditions and sign in with the required role.
2. Navigate to Performance.
3. Execute: Load dashboard for typical 40-employee bar.
4. Refresh or reopen the relevant page and inspect persisted data.
5. Verify UI feedback, permissions, notifications and audit records where applicable.</t>
        </is>
      </c>
      <c r="K407" s="14" t="inlineStr">
        <is>
          <t xml:space="preserve">Large rota, concurrent editors, slow DB and provider outage</t>
        </is>
      </c>
      <c r="L407" s="14" t="inlineStr">
        <is>
          <t xml:space="preserve">Core content becomes usable within the agreed target on normal mobile connection.</t>
        </is>
      </c>
      <c r="M407" s="14" t="inlineStr">
        <is>
          <t xml:space="preserve">Candidate</t>
        </is>
      </c>
      <c r="N407" s="14" t="inlineStr">
        <is>
          <t xml:space="preserve">Yes</t>
        </is>
      </c>
      <c r="O407" s="14" t="inlineStr">
        <is>
          <t xml:space="preserve">Active</t>
        </is>
      </c>
      <c r="P407" s="14"/>
    </row>
    <row r="408">
      <c r="A408" s="14" t="inlineStr">
        <is>
          <t xml:space="preserve">RR-0428</t>
        </is>
      </c>
      <c r="B408" s="14" t="inlineStr">
        <is>
          <t xml:space="preserve">Performance &amp; Reliability</t>
        </is>
      </c>
      <c r="C408" s="14" t="inlineStr">
        <is>
          <t xml:space="preserve">Performance</t>
        </is>
      </c>
      <c r="D408" s="14" t="inlineStr">
        <is>
          <t xml:space="preserve">Performance</t>
        </is>
      </c>
      <c r="E408" s="14" t="inlineStr">
        <is>
          <t xml:space="preserve">Load rota with 200 employees and full week</t>
        </is>
      </c>
      <c r="F408" s="14" t="inlineStr">
        <is>
          <t xml:space="preserve">Critical</t>
        </is>
      </c>
      <c r="G408" s="14" t="inlineStr">
        <is>
          <t xml:space="preserve">Medium</t>
        </is>
      </c>
      <c r="H408" s="14" t="inlineStr">
        <is>
          <t xml:space="preserve">Beta</t>
        </is>
      </c>
      <c r="I408" s="14" t="inlineStr">
        <is>
          <t xml:space="preserve">Seeded large organisation; monitoring enabled; load-test environment isolated from production.</t>
        </is>
      </c>
      <c r="J408" s="14" t="inlineStr">
        <is>
          <t xml:space="preserve">1. Prepare the stated preconditions and sign in with the required role.
2. Navigate to Performance.
3. Execute: Load rota with 200 employees and full week.
4. Refresh or reopen the relevant page and inspect persisted data.
5. Verify UI feedback, permissions, notifications and audit records where applicable.</t>
        </is>
      </c>
      <c r="K408" s="14" t="inlineStr">
        <is>
          <t xml:space="preserve">Large rota, concurrent editors, slow DB and provider outage</t>
        </is>
      </c>
      <c r="L408" s="14" t="inlineStr">
        <is>
          <t xml:space="preserve">Grid remains responsive enough for scroll/filter/edit within target.</t>
        </is>
      </c>
      <c r="M408" s="14" t="inlineStr">
        <is>
          <t xml:space="preserve">Candidate</t>
        </is>
      </c>
      <c r="N408" s="14" t="inlineStr">
        <is>
          <t xml:space="preserve">Yes</t>
        </is>
      </c>
      <c r="O408" s="14" t="inlineStr">
        <is>
          <t xml:space="preserve">Active</t>
        </is>
      </c>
      <c r="P408" s="14"/>
    </row>
    <row r="409">
      <c r="A409" s="14" t="inlineStr">
        <is>
          <t xml:space="preserve">RR-0429</t>
        </is>
      </c>
      <c r="B409" s="14" t="inlineStr">
        <is>
          <t xml:space="preserve">Performance &amp; Reliability</t>
        </is>
      </c>
      <c r="C409" s="14" t="inlineStr">
        <is>
          <t xml:space="preserve">Performance</t>
        </is>
      </c>
      <c r="D409" s="14" t="inlineStr">
        <is>
          <t xml:space="preserve">Performance</t>
        </is>
      </c>
      <c r="E409" s="14" t="inlineStr">
        <is>
          <t xml:space="preserve">Publish rota for 500 employees</t>
        </is>
      </c>
      <c r="F409" s="14" t="inlineStr">
        <is>
          <t xml:space="preserve">High</t>
        </is>
      </c>
      <c r="G409" s="14" t="inlineStr">
        <is>
          <t xml:space="preserve">Medium</t>
        </is>
      </c>
      <c r="H409" s="14" t="inlineStr">
        <is>
          <t xml:space="preserve">Beta</t>
        </is>
      </c>
      <c r="I409" s="14" t="inlineStr">
        <is>
          <t xml:space="preserve">Seeded large organisation; monitoring enabled; load-test environment isolated from production.</t>
        </is>
      </c>
      <c r="J409" s="14" t="inlineStr">
        <is>
          <t xml:space="preserve">1. Prepare the stated preconditions and sign in with the required role.
2. Navigate to Performance.
3. Execute: Publish rota for 500 employees.
4. Refresh or reopen the relevant page and inspect persisted data.
5. Verify UI feedback, permissions, notifications and audit records where applicable.</t>
        </is>
      </c>
      <c r="K409" s="14" t="inlineStr">
        <is>
          <t xml:space="preserve">Large rota, concurrent editors, slow DB and provider outage</t>
        </is>
      </c>
      <c r="L409" s="14" t="inlineStr">
        <is>
          <t xml:space="preserve">Publish completes reliably with queued notifications and visible progress.</t>
        </is>
      </c>
      <c r="M409" s="14" t="inlineStr">
        <is>
          <t xml:space="preserve">Candidate</t>
        </is>
      </c>
      <c r="N409" s="14" t="inlineStr">
        <is>
          <t xml:space="preserve">Yes</t>
        </is>
      </c>
      <c r="O409" s="14" t="inlineStr">
        <is>
          <t xml:space="preserve">Active</t>
        </is>
      </c>
      <c r="P409" s="14"/>
    </row>
    <row r="410">
      <c r="A410" s="14" t="inlineStr">
        <is>
          <t xml:space="preserve">RR-0430</t>
        </is>
      </c>
      <c r="B410" s="14" t="inlineStr">
        <is>
          <t xml:space="preserve">Performance &amp; Reliability</t>
        </is>
      </c>
      <c r="C410" s="14" t="inlineStr">
        <is>
          <t xml:space="preserve">Performance</t>
        </is>
      </c>
      <c r="D410" s="14" t="inlineStr">
        <is>
          <t xml:space="preserve">Performance</t>
        </is>
      </c>
      <c r="E410" s="14" t="inlineStr">
        <is>
          <t xml:space="preserve">Generate large PDF export</t>
        </is>
      </c>
      <c r="F410" s="14" t="inlineStr">
        <is>
          <t xml:space="preserve">High</t>
        </is>
      </c>
      <c r="G410" s="14" t="inlineStr">
        <is>
          <t xml:space="preserve">Medium</t>
        </is>
      </c>
      <c r="H410" s="14" t="inlineStr">
        <is>
          <t xml:space="preserve">Beta</t>
        </is>
      </c>
      <c r="I410" s="14" t="inlineStr">
        <is>
          <t xml:space="preserve">Seeded large organisation; monitoring enabled; load-test environment isolated from production.</t>
        </is>
      </c>
      <c r="J410" s="14" t="inlineStr">
        <is>
          <t xml:space="preserve">1. Prepare the stated preconditions and sign in with the required role.
2. Navigate to Performance.
3. Execute: Generate large PDF export.
4. Refresh or reopen the relevant page and inspect persisted data.
5. Verify UI feedback, permissions, notifications and audit records where applicable.</t>
        </is>
      </c>
      <c r="K410" s="14" t="inlineStr">
        <is>
          <t xml:space="preserve">Large rota, concurrent editors, slow DB and provider outage</t>
        </is>
      </c>
      <c r="L410" s="14" t="inlineStr">
        <is>
          <t xml:space="preserve">Generation completes within target without exhausting application memory.</t>
        </is>
      </c>
      <c r="M410" s="14" t="inlineStr">
        <is>
          <t xml:space="preserve">Candidate</t>
        </is>
      </c>
      <c r="N410" s="14" t="inlineStr">
        <is>
          <t xml:space="preserve">Yes</t>
        </is>
      </c>
      <c r="O410" s="14" t="inlineStr">
        <is>
          <t xml:space="preserve">Active</t>
        </is>
      </c>
      <c r="P410" s="14"/>
    </row>
    <row r="411">
      <c r="A411" s="14" t="inlineStr">
        <is>
          <t xml:space="preserve">RR-0431</t>
        </is>
      </c>
      <c r="B411" s="14" t="inlineStr">
        <is>
          <t xml:space="preserve">Performance &amp; Reliability</t>
        </is>
      </c>
      <c r="C411" s="14" t="inlineStr">
        <is>
          <t xml:space="preserve">Performance</t>
        </is>
      </c>
      <c r="D411" s="14" t="inlineStr">
        <is>
          <t xml:space="preserve">Performance</t>
        </is>
      </c>
      <c r="E411" s="14" t="inlineStr">
        <is>
          <t xml:space="preserve">Open timesheets with one year of history</t>
        </is>
      </c>
      <c r="F411" s="14" t="inlineStr">
        <is>
          <t xml:space="preserve">High</t>
        </is>
      </c>
      <c r="G411" s="14" t="inlineStr">
        <is>
          <t xml:space="preserve">Medium</t>
        </is>
      </c>
      <c r="H411" s="14" t="inlineStr">
        <is>
          <t xml:space="preserve">Beta</t>
        </is>
      </c>
      <c r="I411" s="14" t="inlineStr">
        <is>
          <t xml:space="preserve">Seeded large organisation; monitoring enabled; load-test environment isolated from production.</t>
        </is>
      </c>
      <c r="J411" s="14" t="inlineStr">
        <is>
          <t xml:space="preserve">1. Prepare the stated preconditions and sign in with the required role.
2. Navigate to Performance.
3. Execute: Open timesheets with one year of history.
4. Refresh or reopen the relevant page and inspect persisted data.
5. Verify UI feedback, permissions, notifications and audit records where applicable.</t>
        </is>
      </c>
      <c r="K411" s="14" t="inlineStr">
        <is>
          <t xml:space="preserve">Large rota, concurrent editors, slow DB and provider outage</t>
        </is>
      </c>
      <c r="L411" s="14" t="inlineStr">
        <is>
          <t xml:space="preserve">Initial view is paginated/limited and remains responsive.</t>
        </is>
      </c>
      <c r="M411" s="14" t="inlineStr">
        <is>
          <t xml:space="preserve">Candidate</t>
        </is>
      </c>
      <c r="N411" s="14" t="inlineStr">
        <is>
          <t xml:space="preserve">Yes</t>
        </is>
      </c>
      <c r="O411" s="14" t="inlineStr">
        <is>
          <t xml:space="preserve">Active</t>
        </is>
      </c>
      <c r="P411" s="14"/>
    </row>
    <row r="412">
      <c r="A412" s="14" t="inlineStr">
        <is>
          <t xml:space="preserve">RR-0432</t>
        </is>
      </c>
      <c r="B412" s="14" t="inlineStr">
        <is>
          <t xml:space="preserve">Performance &amp; Reliability</t>
        </is>
      </c>
      <c r="C412" s="14" t="inlineStr">
        <is>
          <t xml:space="preserve">Performance</t>
        </is>
      </c>
      <c r="D412" s="14" t="inlineStr">
        <is>
          <t xml:space="preserve">Performance</t>
        </is>
      </c>
      <c r="E412" s="14" t="inlineStr">
        <is>
          <t xml:space="preserve">Run repeated employee search</t>
        </is>
      </c>
      <c r="F412" s="14" t="inlineStr">
        <is>
          <t xml:space="preserve">Medium</t>
        </is>
      </c>
      <c r="G412" s="14" t="inlineStr">
        <is>
          <t xml:space="preserve">Medium</t>
        </is>
      </c>
      <c r="H412" s="14" t="inlineStr">
        <is>
          <t xml:space="preserve">Beta</t>
        </is>
      </c>
      <c r="I412" s="14" t="inlineStr">
        <is>
          <t xml:space="preserve">Seeded large organisation; monitoring enabled; load-test environment isolated from production.</t>
        </is>
      </c>
      <c r="J412" s="14" t="inlineStr">
        <is>
          <t xml:space="preserve">1. Prepare the stated preconditions and sign in with the required role.
2. Navigate to Performance.
3. Execute: Run repeated employee search.
4. Refresh or reopen the relevant page and inspect persisted data.
5. Verify UI feedback, permissions, notifications and audit records where applicable.</t>
        </is>
      </c>
      <c r="K412" s="14" t="inlineStr">
        <is>
          <t xml:space="preserve">Large rota, concurrent editors, slow DB and provider outage</t>
        </is>
      </c>
      <c r="L412" s="14" t="inlineStr">
        <is>
          <t xml:space="preserve">Results return quickly and request cancellation prevents stale result overwrite.</t>
        </is>
      </c>
      <c r="M412" s="14" t="inlineStr">
        <is>
          <t xml:space="preserve">Candidate</t>
        </is>
      </c>
      <c r="N412" s="14" t="inlineStr">
        <is>
          <t xml:space="preserve">No</t>
        </is>
      </c>
      <c r="O412" s="14" t="inlineStr">
        <is>
          <t xml:space="preserve">Active</t>
        </is>
      </c>
      <c r="P412" s="14"/>
    </row>
    <row r="413">
      <c r="A413" s="14" t="inlineStr">
        <is>
          <t xml:space="preserve">RR-0433</t>
        </is>
      </c>
      <c r="B413" s="14" t="inlineStr">
        <is>
          <t xml:space="preserve">Performance &amp; Reliability</t>
        </is>
      </c>
      <c r="C413" s="14" t="inlineStr">
        <is>
          <t xml:space="preserve">Performance</t>
        </is>
      </c>
      <c r="D413" s="14" t="inlineStr">
        <is>
          <t xml:space="preserve">Concurrency</t>
        </is>
      </c>
      <c r="E413" s="14" t="inlineStr">
        <is>
          <t xml:space="preserve">Concurrent managers edit different locations</t>
        </is>
      </c>
      <c r="F413" s="14" t="inlineStr">
        <is>
          <t xml:space="preserve">High</t>
        </is>
      </c>
      <c r="G413" s="14" t="inlineStr">
        <is>
          <t xml:space="preserve">Medium</t>
        </is>
      </c>
      <c r="H413" s="14" t="inlineStr">
        <is>
          <t xml:space="preserve">Beta</t>
        </is>
      </c>
      <c r="I413" s="14" t="inlineStr">
        <is>
          <t xml:space="preserve">Seeded large organisation; monitoring enabled; load-test environment isolated from production.</t>
        </is>
      </c>
      <c r="J413" s="14" t="inlineStr">
        <is>
          <t xml:space="preserve">1. Prepare the stated preconditions and sign in with the required role.
2. Navigate to Performance.
3. Execute: Concurrent managers edit different locations.
4. Refresh or reopen the relevant page and inspect persisted data.
5. Verify UI feedback, permissions, notifications and audit records where applicable.</t>
        </is>
      </c>
      <c r="K413" s="14" t="inlineStr">
        <is>
          <t xml:space="preserve">Large rota, concurrent editors, slow DB and provider outage</t>
        </is>
      </c>
      <c r="L413" s="14" t="inlineStr">
        <is>
          <t xml:space="preserve">No cross-impact or excessive database contention occurs.</t>
        </is>
      </c>
      <c r="M413" s="14" t="inlineStr">
        <is>
          <t xml:space="preserve">Candidate</t>
        </is>
      </c>
      <c r="N413" s="14" t="inlineStr">
        <is>
          <t xml:space="preserve">Yes</t>
        </is>
      </c>
      <c r="O413" s="14" t="inlineStr">
        <is>
          <t xml:space="preserve">Active</t>
        </is>
      </c>
      <c r="P413" s="14"/>
    </row>
    <row r="414">
      <c r="A414" s="14" t="inlineStr">
        <is>
          <t xml:space="preserve">RR-0434</t>
        </is>
      </c>
      <c r="B414" s="14" t="inlineStr">
        <is>
          <t xml:space="preserve">Performance &amp; Reliability</t>
        </is>
      </c>
      <c r="C414" s="14" t="inlineStr">
        <is>
          <t xml:space="preserve">Performance</t>
        </is>
      </c>
      <c r="D414" s="14" t="inlineStr">
        <is>
          <t xml:space="preserve">Concurrency</t>
        </is>
      </c>
      <c r="E414" s="14" t="inlineStr">
        <is>
          <t xml:space="preserve">Concurrent managers edit the same rota</t>
        </is>
      </c>
      <c r="F414" s="14" t="inlineStr">
        <is>
          <t xml:space="preserve">Critical</t>
        </is>
      </c>
      <c r="G414" s="14" t="inlineStr">
        <is>
          <t xml:space="preserve">Medium</t>
        </is>
      </c>
      <c r="H414" s="14" t="inlineStr">
        <is>
          <t xml:space="preserve">Beta</t>
        </is>
      </c>
      <c r="I414" s="14" t="inlineStr">
        <is>
          <t xml:space="preserve">Seeded large organisation; monitoring enabled; load-test environment isolated from production.</t>
        </is>
      </c>
      <c r="J414" s="14" t="inlineStr">
        <is>
          <t xml:space="preserve">1. Prepare the stated preconditions and sign in with the required role.
2. Navigate to Performance.
3. Execute: Concurrent managers edit the same rota.
4. Refresh or reopen the relevant page and inspect persisted data.
5. Verify UI feedback, permissions, notifications and audit records where applicable.</t>
        </is>
      </c>
      <c r="K414" s="14" t="inlineStr">
        <is>
          <t xml:space="preserve">Large rota, concurrent editors, slow DB and provider outage</t>
        </is>
      </c>
      <c r="L414" s="14" t="inlineStr">
        <is>
          <t xml:space="preserve">Conflict control prevents silent data loss.</t>
        </is>
      </c>
      <c r="M414" s="14" t="inlineStr">
        <is>
          <t xml:space="preserve">Candidate</t>
        </is>
      </c>
      <c r="N414" s="14" t="inlineStr">
        <is>
          <t xml:space="preserve">Yes</t>
        </is>
      </c>
      <c r="O414" s="14" t="inlineStr">
        <is>
          <t xml:space="preserve">Active</t>
        </is>
      </c>
      <c r="P414" s="14"/>
    </row>
    <row r="415">
      <c r="A415" s="14" t="inlineStr">
        <is>
          <t xml:space="preserve">RR-0435</t>
        </is>
      </c>
      <c r="B415" s="14" t="inlineStr">
        <is>
          <t xml:space="preserve">Performance &amp; Reliability</t>
        </is>
      </c>
      <c r="C415" s="14" t="inlineStr">
        <is>
          <t xml:space="preserve">Failure handling and resilience</t>
        </is>
      </c>
      <c r="D415" s="14" t="inlineStr">
        <is>
          <t xml:space="preserve">Recovery</t>
        </is>
      </c>
      <c r="E415" s="14" t="inlineStr">
        <is>
          <t xml:space="preserve">Database connection is temporarily unavailable</t>
        </is>
      </c>
      <c r="F415" s="14" t="inlineStr">
        <is>
          <t xml:space="preserve">Critical</t>
        </is>
      </c>
      <c r="G415" s="14" t="inlineStr">
        <is>
          <t xml:space="preserve">Medium</t>
        </is>
      </c>
      <c r="H415" s="14" t="inlineStr">
        <is>
          <t xml:space="preserve">Beta</t>
        </is>
      </c>
      <c r="I415" s="14" t="inlineStr">
        <is>
          <t xml:space="preserve">Seeded large organisation; monitoring enabled; load-test environment isolated from production.</t>
        </is>
      </c>
      <c r="J415" s="14" t="inlineStr">
        <is>
          <t xml:space="preserve">1. Prepare the stated preconditions and sign in with the required role.
2. Navigate to Failure handling and resilience.
3. Execute: Database connection is temporarily unavailable.
4. Refresh or reopen the relevant page and inspect persisted data.
5. Verify UI feedback, permissions, notifications and audit records where applicable.</t>
        </is>
      </c>
      <c r="K415" s="14" t="inlineStr">
        <is>
          <t xml:space="preserve">Large rota, concurrent editors, slow DB and provider outage</t>
        </is>
      </c>
      <c r="L415" s="14" t="inlineStr">
        <is>
          <t xml:space="preserve">Requests fail safely, user can retry and no partial multi-record transaction remains.</t>
        </is>
      </c>
      <c r="M415" s="14" t="inlineStr">
        <is>
          <t xml:space="preserve">Candidate</t>
        </is>
      </c>
      <c r="N415" s="14" t="inlineStr">
        <is>
          <t xml:space="preserve">Yes</t>
        </is>
      </c>
      <c r="O415" s="14" t="inlineStr">
        <is>
          <t xml:space="preserve">Active</t>
        </is>
      </c>
      <c r="P415" s="14"/>
    </row>
    <row r="416">
      <c r="A416" s="14" t="inlineStr">
        <is>
          <t xml:space="preserve">RR-0436</t>
        </is>
      </c>
      <c r="B416" s="14" t="inlineStr">
        <is>
          <t xml:space="preserve">Performance &amp; Reliability</t>
        </is>
      </c>
      <c r="C416" s="14" t="inlineStr">
        <is>
          <t xml:space="preserve">Failure handling and resilience</t>
        </is>
      </c>
      <c r="D416" s="14" t="inlineStr">
        <is>
          <t xml:space="preserve">Recovery</t>
        </is>
      </c>
      <c r="E416" s="14" t="inlineStr">
        <is>
          <t xml:space="preserve">Email provider is unavailable</t>
        </is>
      </c>
      <c r="F416" s="14" t="inlineStr">
        <is>
          <t xml:space="preserve">High</t>
        </is>
      </c>
      <c r="G416" s="14" t="inlineStr">
        <is>
          <t xml:space="preserve">Medium</t>
        </is>
      </c>
      <c r="H416" s="14" t="inlineStr">
        <is>
          <t xml:space="preserve">Beta</t>
        </is>
      </c>
      <c r="I416" s="14" t="inlineStr">
        <is>
          <t xml:space="preserve">Seeded large organisation; monitoring enabled; load-test environment isolated from production.</t>
        </is>
      </c>
      <c r="J416" s="14" t="inlineStr">
        <is>
          <t xml:space="preserve">1. Prepare the stated preconditions and sign in with the required role.
2. Navigate to Failure handling and resilience.
3. Execute: Email provider is unavailable.
4. Refresh or reopen the relevant page and inspect persisted data.
5. Verify UI feedback, permissions, notifications and audit records where applicable.</t>
        </is>
      </c>
      <c r="K416" s="14" t="inlineStr">
        <is>
          <t xml:space="preserve">Large rota, concurrent editors, slow DB and provider outage</t>
        </is>
      </c>
      <c r="L416" s="14" t="inlineStr">
        <is>
          <t xml:space="preserve">Core publish succeeds or clearly reports queued notification failure according to policy.</t>
        </is>
      </c>
      <c r="M416" s="14" t="inlineStr">
        <is>
          <t xml:space="preserve">Candidate</t>
        </is>
      </c>
      <c r="N416" s="14" t="inlineStr">
        <is>
          <t xml:space="preserve">Yes</t>
        </is>
      </c>
      <c r="O416" s="14" t="inlineStr">
        <is>
          <t xml:space="preserve">Active</t>
        </is>
      </c>
      <c r="P416" s="14"/>
    </row>
    <row r="417">
      <c r="A417" s="14" t="inlineStr">
        <is>
          <t xml:space="preserve">RR-0437</t>
        </is>
      </c>
      <c r="B417" s="14" t="inlineStr">
        <is>
          <t xml:space="preserve">Performance &amp; Reliability</t>
        </is>
      </c>
      <c r="C417" s="14" t="inlineStr">
        <is>
          <t xml:space="preserve">Failure handling and resilience</t>
        </is>
      </c>
      <c r="D417" s="14" t="inlineStr">
        <is>
          <t xml:space="preserve">Recovery</t>
        </is>
      </c>
      <c r="E417" s="14" t="inlineStr">
        <is>
          <t xml:space="preserve">Push provider is unavailable</t>
        </is>
      </c>
      <c r="F417" s="14" t="inlineStr">
        <is>
          <t xml:space="preserve">High</t>
        </is>
      </c>
      <c r="G417" s="14" t="inlineStr">
        <is>
          <t xml:space="preserve">Medium</t>
        </is>
      </c>
      <c r="H417" s="14" t="inlineStr">
        <is>
          <t xml:space="preserve">Beta</t>
        </is>
      </c>
      <c r="I417" s="14" t="inlineStr">
        <is>
          <t xml:space="preserve">Seeded large organisation; monitoring enabled; load-test environment isolated from production.</t>
        </is>
      </c>
      <c r="J417" s="14" t="inlineStr">
        <is>
          <t xml:space="preserve">1. Prepare the stated preconditions and sign in with the required role.
2. Navigate to Failure handling and resilience.
3. Execute: Push provider is unavailable.
4. Refresh or reopen the relevant page and inspect persisted data.
5. Verify UI feedback, permissions, notifications and audit records where applicable.</t>
        </is>
      </c>
      <c r="K417" s="14" t="inlineStr">
        <is>
          <t xml:space="preserve">Large rota, concurrent editors, slow DB and provider outage</t>
        </is>
      </c>
      <c r="L417" s="14" t="inlineStr">
        <is>
          <t xml:space="preserve">Fallback/retry logic works without blocking rota publication indefinitely.</t>
        </is>
      </c>
      <c r="M417" s="14" t="inlineStr">
        <is>
          <t xml:space="preserve">Candidate</t>
        </is>
      </c>
      <c r="N417" s="14" t="inlineStr">
        <is>
          <t xml:space="preserve">Yes</t>
        </is>
      </c>
      <c r="O417" s="14" t="inlineStr">
        <is>
          <t xml:space="preserve">Active</t>
        </is>
      </c>
      <c r="P417" s="14"/>
    </row>
    <row r="418">
      <c r="A418" s="14" t="inlineStr">
        <is>
          <t xml:space="preserve">RR-0438</t>
        </is>
      </c>
      <c r="B418" s="14" t="inlineStr">
        <is>
          <t xml:space="preserve">Performance &amp; Reliability</t>
        </is>
      </c>
      <c r="C418" s="14" t="inlineStr">
        <is>
          <t xml:space="preserve">Failure handling and resilience</t>
        </is>
      </c>
      <c r="D418" s="14" t="inlineStr">
        <is>
          <t xml:space="preserve">Recovery</t>
        </is>
      </c>
      <c r="E418" s="14" t="inlineStr">
        <is>
          <t xml:space="preserve">Stripe webhook processing fails</t>
        </is>
      </c>
      <c r="F418" s="14" t="inlineStr">
        <is>
          <t xml:space="preserve">Critical</t>
        </is>
      </c>
      <c r="G418" s="14" t="inlineStr">
        <is>
          <t xml:space="preserve">Medium</t>
        </is>
      </c>
      <c r="H418" s="14" t="inlineStr">
        <is>
          <t xml:space="preserve">Beta</t>
        </is>
      </c>
      <c r="I418" s="14" t="inlineStr">
        <is>
          <t xml:space="preserve">Seeded large organisation; monitoring enabled; load-test environment isolated from production.</t>
        </is>
      </c>
      <c r="J418" s="14" t="inlineStr">
        <is>
          <t xml:space="preserve">1. Prepare the stated preconditions and sign in with the required role.
2. Navigate to Failure handling and resilience.
3. Execute: Stripe webhook processing fails.
4. Refresh or reopen the relevant page and inspect persisted data.
5. Verify UI feedback, permissions, notifications and audit records where applicable.</t>
        </is>
      </c>
      <c r="K418" s="14" t="inlineStr">
        <is>
          <t xml:space="preserve">Large rota, concurrent editors, slow DB and provider outage</t>
        </is>
      </c>
      <c r="L418" s="14" t="inlineStr">
        <is>
          <t xml:space="preserve">Event is retried/idempotent and billing state can recover.</t>
        </is>
      </c>
      <c r="M418" s="14" t="inlineStr">
        <is>
          <t xml:space="preserve">Candidate</t>
        </is>
      </c>
      <c r="N418" s="14" t="inlineStr">
        <is>
          <t xml:space="preserve">Yes</t>
        </is>
      </c>
      <c r="O418" s="14" t="inlineStr">
        <is>
          <t xml:space="preserve">Active</t>
        </is>
      </c>
      <c r="P418" s="14"/>
    </row>
    <row r="419">
      <c r="A419" s="14" t="inlineStr">
        <is>
          <t xml:space="preserve">RR-0439</t>
        </is>
      </c>
      <c r="B419" s="14" t="inlineStr">
        <is>
          <t xml:space="preserve">Performance &amp; Reliability</t>
        </is>
      </c>
      <c r="C419" s="14" t="inlineStr">
        <is>
          <t xml:space="preserve">Failure handling and resilience</t>
        </is>
      </c>
      <c r="D419" s="14" t="inlineStr">
        <is>
          <t xml:space="preserve">Recovery</t>
        </is>
      </c>
      <c r="E419" s="14" t="inlineStr">
        <is>
          <t xml:space="preserve">Application container restarts during save</t>
        </is>
      </c>
      <c r="F419" s="14" t="inlineStr">
        <is>
          <t xml:space="preserve">Critical</t>
        </is>
      </c>
      <c r="G419" s="14" t="inlineStr">
        <is>
          <t xml:space="preserve">Medium</t>
        </is>
      </c>
      <c r="H419" s="14" t="inlineStr">
        <is>
          <t xml:space="preserve">Beta</t>
        </is>
      </c>
      <c r="I419" s="14" t="inlineStr">
        <is>
          <t xml:space="preserve">Seeded large organisation; monitoring enabled; load-test environment isolated from production.</t>
        </is>
      </c>
      <c r="J419" s="14" t="inlineStr">
        <is>
          <t xml:space="preserve">1. Prepare the stated preconditions and sign in with the required role.
2. Navigate to Failure handling and resilience.
3. Execute: Application container restarts during save.
4. Refresh or reopen the relevant page and inspect persisted data.
5. Verify UI feedback, permissions, notifications and audit records where applicable.</t>
        </is>
      </c>
      <c r="K419" s="14" t="inlineStr">
        <is>
          <t xml:space="preserve">Large rota, concurrent editors, slow DB and provider outage</t>
        </is>
      </c>
      <c r="L419" s="14" t="inlineStr">
        <is>
          <t xml:space="preserve">Completed transactions persist; incomplete work is not falsely confirmed.</t>
        </is>
      </c>
      <c r="M419" s="14" t="inlineStr">
        <is>
          <t xml:space="preserve">Candidate</t>
        </is>
      </c>
      <c r="N419" s="14" t="inlineStr">
        <is>
          <t xml:space="preserve">Yes</t>
        </is>
      </c>
      <c r="O419" s="14" t="inlineStr">
        <is>
          <t xml:space="preserve">Active</t>
        </is>
      </c>
      <c r="P419" s="14"/>
    </row>
    <row r="420">
      <c r="A420" s="14" t="inlineStr">
        <is>
          <t xml:space="preserve">RR-0440</t>
        </is>
      </c>
      <c r="B420" s="14" t="inlineStr">
        <is>
          <t xml:space="preserve">Performance &amp; Reliability</t>
        </is>
      </c>
      <c r="C420" s="14" t="inlineStr">
        <is>
          <t xml:space="preserve">Failure handling and resilience</t>
        </is>
      </c>
      <c r="D420" s="14" t="inlineStr">
        <is>
          <t xml:space="preserve">Concurrency</t>
        </is>
      </c>
      <c r="E420" s="14" t="inlineStr">
        <is>
          <t xml:space="preserve">Scheduled publication job runs twice</t>
        </is>
      </c>
      <c r="F420" s="14" t="inlineStr">
        <is>
          <t xml:space="preserve">Critical</t>
        </is>
      </c>
      <c r="G420" s="14" t="inlineStr">
        <is>
          <t xml:space="preserve">Medium</t>
        </is>
      </c>
      <c r="H420" s="14" t="inlineStr">
        <is>
          <t xml:space="preserve">Beta</t>
        </is>
      </c>
      <c r="I420" s="14" t="inlineStr">
        <is>
          <t xml:space="preserve">Seeded large organisation; monitoring enabled; load-test environment isolated from production.</t>
        </is>
      </c>
      <c r="J420" s="14" t="inlineStr">
        <is>
          <t xml:space="preserve">1. Prepare the stated preconditions and sign in with the required role.
2. Navigate to Failure handling and resilience.
3. Execute: Scheduled publication job runs twice.
4. Refresh or reopen the relevant page and inspect persisted data.
5. Verify UI feedback, permissions, notifications and audit records where applicable.</t>
        </is>
      </c>
      <c r="K420" s="14" t="inlineStr">
        <is>
          <t xml:space="preserve">Large rota, concurrent editors, slow DB and provider outage</t>
        </is>
      </c>
      <c r="L420" s="14" t="inlineStr">
        <is>
          <t xml:space="preserve">Rota publishes and notifies once.</t>
        </is>
      </c>
      <c r="M420" s="14" t="inlineStr">
        <is>
          <t xml:space="preserve">Candidate</t>
        </is>
      </c>
      <c r="N420" s="14" t="inlineStr">
        <is>
          <t xml:space="preserve">Yes</t>
        </is>
      </c>
      <c r="O420" s="14" t="inlineStr">
        <is>
          <t xml:space="preserve">Active</t>
        </is>
      </c>
      <c r="P420" s="14"/>
    </row>
    <row r="421">
      <c r="A421" s="14" t="inlineStr">
        <is>
          <t xml:space="preserve">RR-0441</t>
        </is>
      </c>
      <c r="B421" s="14" t="inlineStr">
        <is>
          <t xml:space="preserve">Performance &amp; Reliability</t>
        </is>
      </c>
      <c r="C421" s="14" t="inlineStr">
        <is>
          <t xml:space="preserve">Failure handling and resilience</t>
        </is>
      </c>
      <c r="D421" s="14" t="inlineStr">
        <is>
          <t xml:space="preserve">Reliability</t>
        </is>
      </c>
      <c r="E421" s="14" t="inlineStr">
        <is>
          <t xml:space="preserve">Scheduled job is delayed</t>
        </is>
      </c>
      <c r="F421" s="14" t="inlineStr">
        <is>
          <t xml:space="preserve">High</t>
        </is>
      </c>
      <c r="G421" s="14" t="inlineStr">
        <is>
          <t xml:space="preserve">Medium</t>
        </is>
      </c>
      <c r="H421" s="14" t="inlineStr">
        <is>
          <t xml:space="preserve">Beta</t>
        </is>
      </c>
      <c r="I421" s="14" t="inlineStr">
        <is>
          <t xml:space="preserve">Seeded large organisation; monitoring enabled; load-test environment isolated from production.</t>
        </is>
      </c>
      <c r="J421" s="14" t="inlineStr">
        <is>
          <t xml:space="preserve">1. Prepare the stated preconditions and sign in with the required role.
2. Navigate to Failure handling and resilience.
3. Execute: Scheduled job is delayed.
4. Refresh or reopen the relevant page and inspect persisted data.
5. Verify UI feedback, permissions, notifications and audit records where applicable.</t>
        </is>
      </c>
      <c r="K421" s="14" t="inlineStr">
        <is>
          <t xml:space="preserve">Large rota, concurrent editors, slow DB and provider outage</t>
        </is>
      </c>
      <c r="L421" s="14" t="inlineStr">
        <is>
          <t xml:space="preserve">System publishes as soon as practical and records actual vs scheduled time.</t>
        </is>
      </c>
      <c r="M421" s="14" t="inlineStr">
        <is>
          <t xml:space="preserve">Candidate</t>
        </is>
      </c>
      <c r="N421" s="14" t="inlineStr">
        <is>
          <t xml:space="preserve">Yes</t>
        </is>
      </c>
      <c r="O421" s="14" t="inlineStr">
        <is>
          <t xml:space="preserve">Active</t>
        </is>
      </c>
      <c r="P421" s="14"/>
    </row>
    <row r="422">
      <c r="A422" s="14" t="inlineStr">
        <is>
          <t xml:space="preserve">RR-0442</t>
        </is>
      </c>
      <c r="B422" s="14" t="inlineStr">
        <is>
          <t xml:space="preserve">Performance &amp; Reliability</t>
        </is>
      </c>
      <c r="C422" s="14" t="inlineStr">
        <is>
          <t xml:space="preserve">Failure handling and resilience</t>
        </is>
      </c>
      <c r="D422" s="14" t="inlineStr">
        <is>
          <t xml:space="preserve">Recovery</t>
        </is>
      </c>
      <c r="E422" s="14" t="inlineStr">
        <is>
          <t xml:space="preserve">Client receives malformed/unexpected API response</t>
        </is>
      </c>
      <c r="F422" s="14" t="inlineStr">
        <is>
          <t xml:space="preserve">High</t>
        </is>
      </c>
      <c r="G422" s="14" t="inlineStr">
        <is>
          <t xml:space="preserve">Medium</t>
        </is>
      </c>
      <c r="H422" s="14" t="inlineStr">
        <is>
          <t xml:space="preserve">Beta</t>
        </is>
      </c>
      <c r="I422" s="14" t="inlineStr">
        <is>
          <t xml:space="preserve">Seeded large organisation; monitoring enabled; load-test environment isolated from production.</t>
        </is>
      </c>
      <c r="J422" s="14" t="inlineStr">
        <is>
          <t xml:space="preserve">1. Prepare the stated preconditions and sign in with the required role.
2. Navigate to Failure handling and resilience.
3. Execute: Client receives malformed/unexpected API response.
4. Refresh or reopen the relevant page and inspect persisted data.
5. Verify UI feedback, permissions, notifications and audit records where applicable.</t>
        </is>
      </c>
      <c r="K422" s="14" t="inlineStr">
        <is>
          <t xml:space="preserve">Large rota, concurrent editors, slow DB and provider outage</t>
        </is>
      </c>
      <c r="L422" s="14" t="inlineStr">
        <is>
          <t xml:space="preserve">Error boundary contains failure and provides recovery without blank screen.</t>
        </is>
      </c>
      <c r="M422" s="14" t="inlineStr">
        <is>
          <t xml:space="preserve">Candidate</t>
        </is>
      </c>
      <c r="N422" s="14" t="inlineStr">
        <is>
          <t xml:space="preserve">Yes</t>
        </is>
      </c>
      <c r="O422" s="14" t="inlineStr">
        <is>
          <t xml:space="preserve">Active</t>
        </is>
      </c>
      <c r="P422" s="14"/>
    </row>
    <row r="423">
      <c r="A423" s="14" t="inlineStr">
        <is>
          <t xml:space="preserve">RR-0443</t>
        </is>
      </c>
      <c r="B423" s="14" t="inlineStr">
        <is>
          <t xml:space="preserve">Performance &amp; Reliability</t>
        </is>
      </c>
      <c r="C423" s="14" t="inlineStr">
        <is>
          <t xml:space="preserve">Failure handling and resilience</t>
        </is>
      </c>
      <c r="D423" s="14" t="inlineStr">
        <is>
          <t xml:space="preserve">Performance</t>
        </is>
      </c>
      <c r="E423" s="14" t="inlineStr">
        <is>
          <t xml:space="preserve">Memory/CPU usage under sustained load</t>
        </is>
      </c>
      <c r="F423" s="14" t="inlineStr">
        <is>
          <t xml:space="preserve">High</t>
        </is>
      </c>
      <c r="G423" s="14" t="inlineStr">
        <is>
          <t xml:space="preserve">Medium</t>
        </is>
      </c>
      <c r="H423" s="14" t="inlineStr">
        <is>
          <t xml:space="preserve">Beta</t>
        </is>
      </c>
      <c r="I423" s="14" t="inlineStr">
        <is>
          <t xml:space="preserve">Seeded large organisation; monitoring enabled; load-test environment isolated from production.</t>
        </is>
      </c>
      <c r="J423" s="14" t="inlineStr">
        <is>
          <t xml:space="preserve">1. Prepare the stated preconditions and sign in with the required role.
2. Navigate to Failure handling and resilience.
3. Execute: Memory/CPU usage under sustained load.
4. Refresh or reopen the relevant page and inspect persisted data.
5. Verify UI feedback, permissions, notifications and audit records where applicable.</t>
        </is>
      </c>
      <c r="K423" s="14" t="inlineStr">
        <is>
          <t xml:space="preserve">Large rota, concurrent editors, slow DB and provider outage</t>
        </is>
      </c>
      <c r="L423" s="14" t="inlineStr">
        <is>
          <t xml:space="preserve">Service remains within infrastructure limits and alerts before exhaustion.</t>
        </is>
      </c>
      <c r="M423" s="14" t="inlineStr">
        <is>
          <t xml:space="preserve">Candidate</t>
        </is>
      </c>
      <c r="N423" s="14" t="inlineStr">
        <is>
          <t xml:space="preserve">Yes</t>
        </is>
      </c>
      <c r="O423" s="14" t="inlineStr">
        <is>
          <t xml:space="preserve">Active</t>
        </is>
      </c>
      <c r="P423" s="14"/>
    </row>
    <row r="424">
      <c r="A424" s="14" t="inlineStr">
        <is>
          <t xml:space="preserve">RR-0444</t>
        </is>
      </c>
      <c r="B424" s="14" t="inlineStr">
        <is>
          <t xml:space="preserve">Performance &amp; Reliability</t>
        </is>
      </c>
      <c r="C424" s="14" t="inlineStr">
        <is>
          <t xml:space="preserve">Failure handling and resilience</t>
        </is>
      </c>
      <c r="D424" s="14" t="inlineStr">
        <is>
          <t xml:space="preserve">Reliability</t>
        </is>
      </c>
      <c r="E424" s="14" t="inlineStr">
        <is>
          <t xml:space="preserve">Log correlation across frontend/server/jobs</t>
        </is>
      </c>
      <c r="F424" s="14" t="inlineStr">
        <is>
          <t xml:space="preserve">Medium</t>
        </is>
      </c>
      <c r="G424" s="14" t="inlineStr">
        <is>
          <t xml:space="preserve">Medium</t>
        </is>
      </c>
      <c r="H424" s="14" t="inlineStr">
        <is>
          <t xml:space="preserve">Beta</t>
        </is>
      </c>
      <c r="I424" s="14" t="inlineStr">
        <is>
          <t xml:space="preserve">Seeded large organisation; monitoring enabled; load-test environment isolated from production.</t>
        </is>
      </c>
      <c r="J424" s="14" t="inlineStr">
        <is>
          <t xml:space="preserve">1. Prepare the stated preconditions and sign in with the required role.
2. Navigate to Failure handling and resilience.
3. Execute: Log correlation across frontend/server/jobs.
4. Refresh or reopen the relevant page and inspect persisted data.
5. Verify UI feedback, permissions, notifications and audit records where applicable.</t>
        </is>
      </c>
      <c r="K424" s="14" t="inlineStr">
        <is>
          <t xml:space="preserve">Large rota, concurrent editors, slow DB and provider outage</t>
        </is>
      </c>
      <c r="L424" s="14" t="inlineStr">
        <is>
          <t xml:space="preserve">A customer-facing error can be traced using a safe correlation ID.</t>
        </is>
      </c>
      <c r="M424" s="14" t="inlineStr">
        <is>
          <t xml:space="preserve">Candidate</t>
        </is>
      </c>
      <c r="N424" s="14" t="inlineStr">
        <is>
          <t xml:space="preserve">No</t>
        </is>
      </c>
      <c r="O424" s="14" t="inlineStr">
        <is>
          <t xml:space="preserve">Active</t>
        </is>
      </c>
      <c r="P424" s="14"/>
    </row>
    <row r="425">
      <c r="A425" s="14" t="inlineStr">
        <is>
          <t xml:space="preserve">RR-0445</t>
        </is>
      </c>
      <c r="B425" s="14" t="inlineStr">
        <is>
          <t xml:space="preserve">Deployment, Domains &amp; Monitoring</t>
        </is>
      </c>
      <c r="C425" s="14" t="inlineStr">
        <is>
          <t xml:space="preserve">Production deployment</t>
        </is>
      </c>
      <c r="D425" s="14" t="inlineStr">
        <is>
          <t xml:space="preserve">Deployment</t>
        </is>
      </c>
      <c r="E425" s="14" t="inlineStr">
        <is>
          <t xml:space="preserve">Deploy current build through Coolify</t>
        </is>
      </c>
      <c r="F425" s="14" t="inlineStr">
        <is>
          <t xml:space="preserve">Critical</t>
        </is>
      </c>
      <c r="G425" s="14" t="inlineStr">
        <is>
          <t xml:space="preserve">Medium</t>
        </is>
      </c>
      <c r="H425" s="14" t="inlineStr">
        <is>
          <t xml:space="preserve">Beta</t>
        </is>
      </c>
      <c r="I425" s="14" t="inlineStr">
        <is>
          <t xml:space="preserve">Production-like deployment with DNS, TLS, logging and alerting configured.</t>
        </is>
      </c>
      <c r="J425" s="14" t="inlineStr">
        <is>
          <t xml:space="preserve">1. Prepare the stated preconditions and sign in with the required role.
2. Navigate to Production deployment.
3. Execute: Deploy current build through Coolify.
4. Refresh or reopen the relevant page and inspect persisted data.
5. Verify UI feedback, permissions, notifications and audit records where applicable.</t>
        </is>
      </c>
      <c r="K425" s="14" t="inlineStr">
        <is>
          <t xml:space="preserve">rocketrota.com, app/admin/dev subdomains and /clock route</t>
        </is>
      </c>
      <c r="L425" s="14" t="inlineStr">
        <is>
          <t xml:space="preserve">Health checks pass and previous healthy version remains recoverable.</t>
        </is>
      </c>
      <c r="M425" s="14" t="inlineStr">
        <is>
          <t xml:space="preserve">Candidate</t>
        </is>
      </c>
      <c r="N425" s="14" t="inlineStr">
        <is>
          <t xml:space="preserve">Yes</t>
        </is>
      </c>
      <c r="O425" s="14" t="inlineStr">
        <is>
          <t xml:space="preserve">Active</t>
        </is>
      </c>
      <c r="P425" s="14"/>
    </row>
    <row r="426">
      <c r="A426" s="14" t="inlineStr">
        <is>
          <t xml:space="preserve">RR-0446</t>
        </is>
      </c>
      <c r="B426" s="14" t="inlineStr">
        <is>
          <t xml:space="preserve">Deployment, Domains &amp; Monitoring</t>
        </is>
      </c>
      <c r="C426" s="14" t="inlineStr">
        <is>
          <t xml:space="preserve">Production deployment</t>
        </is>
      </c>
      <c r="D426" s="14" t="inlineStr">
        <is>
          <t xml:space="preserve">Deployment</t>
        </is>
      </c>
      <c r="E426" s="14" t="inlineStr">
        <is>
          <t xml:space="preserve">Open rocketrota.com over HTTPS</t>
        </is>
      </c>
      <c r="F426" s="14" t="inlineStr">
        <is>
          <t xml:space="preserve">Critical</t>
        </is>
      </c>
      <c r="G426" s="14" t="inlineStr">
        <is>
          <t xml:space="preserve">Medium</t>
        </is>
      </c>
      <c r="H426" s="14" t="inlineStr">
        <is>
          <t xml:space="preserve">Beta</t>
        </is>
      </c>
      <c r="I426" s="14" t="inlineStr">
        <is>
          <t xml:space="preserve">Production-like deployment with DNS, TLS, logging and alerting configured.</t>
        </is>
      </c>
      <c r="J426" s="14" t="inlineStr">
        <is>
          <t xml:space="preserve">1. Prepare the stated preconditions and sign in with the required role.
2. Navigate to Production deployment.
3. Execute: Open rocketrota.com over HTTPS.
4. Refresh or reopen the relevant page and inspect persisted data.
5. Verify UI feedback, permissions, notifications and audit records where applicable.</t>
        </is>
      </c>
      <c r="K426" s="14" t="inlineStr">
        <is>
          <t xml:space="preserve">rocketrota.com, app/admin/dev subdomains and /clock route</t>
        </is>
      </c>
      <c r="L426" s="14" t="inlineStr">
        <is>
          <t xml:space="preserve">Marketing site uses valid TLS and redirects HTTP safely.</t>
        </is>
      </c>
      <c r="M426" s="14" t="inlineStr">
        <is>
          <t xml:space="preserve">Candidate</t>
        </is>
      </c>
      <c r="N426" s="14" t="inlineStr">
        <is>
          <t xml:space="preserve">Yes</t>
        </is>
      </c>
      <c r="O426" s="14" t="inlineStr">
        <is>
          <t xml:space="preserve">Active</t>
        </is>
      </c>
      <c r="P426" s="14"/>
    </row>
    <row r="427">
      <c r="A427" s="14" t="inlineStr">
        <is>
          <t xml:space="preserve">RR-0447</t>
        </is>
      </c>
      <c r="B427" s="14" t="inlineStr">
        <is>
          <t xml:space="preserve">Deployment, Domains &amp; Monitoring</t>
        </is>
      </c>
      <c r="C427" s="14" t="inlineStr">
        <is>
          <t xml:space="preserve">Production deployment</t>
        </is>
      </c>
      <c r="D427" s="14" t="inlineStr">
        <is>
          <t xml:space="preserve">Deployment</t>
        </is>
      </c>
      <c r="E427" s="14" t="inlineStr">
        <is>
          <t xml:space="preserve">Open app/admin/dev subdomains as configured</t>
        </is>
      </c>
      <c r="F427" s="14" t="inlineStr">
        <is>
          <t xml:space="preserve">Critical</t>
        </is>
      </c>
      <c r="G427" s="14" t="inlineStr">
        <is>
          <t xml:space="preserve">Medium</t>
        </is>
      </c>
      <c r="H427" s="14" t="inlineStr">
        <is>
          <t xml:space="preserve">Beta</t>
        </is>
      </c>
      <c r="I427" s="14" t="inlineStr">
        <is>
          <t xml:space="preserve">Production-like deployment with DNS, TLS, logging and alerting configured.</t>
        </is>
      </c>
      <c r="J427" s="14" t="inlineStr">
        <is>
          <t xml:space="preserve">1. Prepare the stated preconditions and sign in with the required role.
2. Navigate to Production deployment.
3. Execute: Open app/admin/dev subdomains as configured.
4. Refresh or reopen the relevant page and inspect persisted data.
5. Verify UI feedback, permissions, notifications and audit records where applicable.</t>
        </is>
      </c>
      <c r="K427" s="14" t="inlineStr">
        <is>
          <t xml:space="preserve">rocketrota.com, app/admin/dev subdomains and /clock route</t>
        </is>
      </c>
      <c r="L427" s="14" t="inlineStr">
        <is>
          <t xml:space="preserve">DNS, TLS, routing and trusted-origin/auth configuration are correct.</t>
        </is>
      </c>
      <c r="M427" s="14" t="inlineStr">
        <is>
          <t xml:space="preserve">Candidate</t>
        </is>
      </c>
      <c r="N427" s="14" t="inlineStr">
        <is>
          <t xml:space="preserve">Yes</t>
        </is>
      </c>
      <c r="O427" s="14" t="inlineStr">
        <is>
          <t xml:space="preserve">Active</t>
        </is>
      </c>
      <c r="P427" s="14"/>
    </row>
    <row r="428">
      <c r="A428" s="14" t="inlineStr">
        <is>
          <t xml:space="preserve">RR-0448</t>
        </is>
      </c>
      <c r="B428" s="14" t="inlineStr">
        <is>
          <t xml:space="preserve">Deployment, Domains &amp; Monitoring</t>
        </is>
      </c>
      <c r="C428" s="14" t="inlineStr">
        <is>
          <t xml:space="preserve">Production deployment</t>
        </is>
      </c>
      <c r="D428" s="14" t="inlineStr">
        <is>
          <t xml:space="preserve">Deployment</t>
        </is>
      </c>
      <c r="E428" s="14" t="inlineStr">
        <is>
          <t xml:space="preserve">Open /clock from an external NFC tap</t>
        </is>
      </c>
      <c r="F428" s="14" t="inlineStr">
        <is>
          <t xml:space="preserve">Critical</t>
        </is>
      </c>
      <c r="G428" s="14" t="inlineStr">
        <is>
          <t xml:space="preserve">Medium</t>
        </is>
      </c>
      <c r="H428" s="14" t="inlineStr">
        <is>
          <t xml:space="preserve">Beta</t>
        </is>
      </c>
      <c r="I428" s="14" t="inlineStr">
        <is>
          <t xml:space="preserve">Production-like deployment with DNS, TLS, logging and alerting configured.</t>
        </is>
      </c>
      <c r="J428" s="14" t="inlineStr">
        <is>
          <t xml:space="preserve">1. Prepare the stated preconditions and sign in with the required role.
2. Navigate to Production deployment.
3. Execute: Open /clock from an external NFC tap.
4. Refresh or reopen the relevant page and inspect persisted data.
5. Verify UI feedback, permissions, notifications and audit records where applicable.</t>
        </is>
      </c>
      <c r="K428" s="14" t="inlineStr">
        <is>
          <t xml:space="preserve">rocketrota.com, app/admin/dev subdomains and /clock route</t>
        </is>
      </c>
      <c r="L428" s="14" t="inlineStr">
        <is>
          <t xml:space="preserve">Public route resolves without authentication redirect loops and preserves secure validation.</t>
        </is>
      </c>
      <c r="M428" s="14" t="inlineStr">
        <is>
          <t xml:space="preserve">Candidate</t>
        </is>
      </c>
      <c r="N428" s="14" t="inlineStr">
        <is>
          <t xml:space="preserve">Yes</t>
        </is>
      </c>
      <c r="O428" s="14" t="inlineStr">
        <is>
          <t xml:space="preserve">Active</t>
        </is>
      </c>
      <c r="P428" s="14"/>
    </row>
    <row r="429">
      <c r="A429" s="14" t="inlineStr">
        <is>
          <t xml:space="preserve">RR-0449</t>
        </is>
      </c>
      <c r="B429" s="14" t="inlineStr">
        <is>
          <t xml:space="preserve">Deployment, Domains &amp; Monitoring</t>
        </is>
      </c>
      <c r="C429" s="14" t="inlineStr">
        <is>
          <t xml:space="preserve">Production deployment</t>
        </is>
      </c>
      <c r="D429" s="14" t="inlineStr">
        <is>
          <t xml:space="preserve">Deployment</t>
        </is>
      </c>
      <c r="E429" s="14" t="inlineStr">
        <is>
          <t xml:space="preserve">PWA assets and manifest use production URLs</t>
        </is>
      </c>
      <c r="F429" s="14" t="inlineStr">
        <is>
          <t xml:space="preserve">Critical</t>
        </is>
      </c>
      <c r="G429" s="14" t="inlineStr">
        <is>
          <t xml:space="preserve">Medium</t>
        </is>
      </c>
      <c r="H429" s="14" t="inlineStr">
        <is>
          <t xml:space="preserve">Beta</t>
        </is>
      </c>
      <c r="I429" s="14" t="inlineStr">
        <is>
          <t xml:space="preserve">Production-like deployment with DNS, TLS, logging and alerting configured.</t>
        </is>
      </c>
      <c r="J429" s="14" t="inlineStr">
        <is>
          <t xml:space="preserve">1. Prepare the stated preconditions and sign in with the required role.
2. Navigate to Production deployment.
3. Execute: PWA assets and manifest use production URLs.
4. Refresh or reopen the relevant page and inspect persisted data.
5. Verify UI feedback, permissions, notifications and audit records where applicable.</t>
        </is>
      </c>
      <c r="K429" s="14" t="inlineStr">
        <is>
          <t xml:space="preserve">rocketrota.com, app/admin/dev subdomains and /clock route</t>
        </is>
      </c>
      <c r="L429" s="14" t="inlineStr">
        <is>
          <t xml:space="preserve">No localhost/dev resources or mixed content are present.</t>
        </is>
      </c>
      <c r="M429" s="14" t="inlineStr">
        <is>
          <t xml:space="preserve">Candidate</t>
        </is>
      </c>
      <c r="N429" s="14" t="inlineStr">
        <is>
          <t xml:space="preserve">Yes</t>
        </is>
      </c>
      <c r="O429" s="14" t="inlineStr">
        <is>
          <t xml:space="preserve">Active</t>
        </is>
      </c>
      <c r="P429" s="14"/>
    </row>
    <row r="430">
      <c r="A430" s="14" t="inlineStr">
        <is>
          <t xml:space="preserve">RR-0450</t>
        </is>
      </c>
      <c r="B430" s="14" t="inlineStr">
        <is>
          <t xml:space="preserve">Deployment, Domains &amp; Monitoring</t>
        </is>
      </c>
      <c r="C430" s="14" t="inlineStr">
        <is>
          <t xml:space="preserve">Production deployment</t>
        </is>
      </c>
      <c r="D430" s="14" t="inlineStr">
        <is>
          <t xml:space="preserve">Recovery</t>
        </is>
      </c>
      <c r="E430" s="14" t="inlineStr">
        <is>
          <t xml:space="preserve">Supabase/database DNS temporarily fails</t>
        </is>
      </c>
      <c r="F430" s="14" t="inlineStr">
        <is>
          <t xml:space="preserve">Critical</t>
        </is>
      </c>
      <c r="G430" s="14" t="inlineStr">
        <is>
          <t xml:space="preserve">Medium</t>
        </is>
      </c>
      <c r="H430" s="14" t="inlineStr">
        <is>
          <t xml:space="preserve">Beta</t>
        </is>
      </c>
      <c r="I430" s="14" t="inlineStr">
        <is>
          <t xml:space="preserve">Production-like deployment with DNS, TLS, logging and alerting configured.</t>
        </is>
      </c>
      <c r="J430" s="14" t="inlineStr">
        <is>
          <t xml:space="preserve">1. Prepare the stated preconditions and sign in with the required role.
2. Navigate to Production deployment.
3. Execute: Supabase/database DNS temporarily fails.
4. Refresh or reopen the relevant page and inspect persisted data.
5. Verify UI feedback, permissions, notifications and audit records where applicable.</t>
        </is>
      </c>
      <c r="K430" s="14" t="inlineStr">
        <is>
          <t xml:space="preserve">rocketrota.com, app/admin/dev subdomains and /clock route</t>
        </is>
      </c>
      <c r="L430" s="14" t="inlineStr">
        <is>
          <t xml:space="preserve">Application reports a safe failure and monitoring captures the dependency issue.</t>
        </is>
      </c>
      <c r="M430" s="14" t="inlineStr">
        <is>
          <t xml:space="preserve">Candidate</t>
        </is>
      </c>
      <c r="N430" s="14" t="inlineStr">
        <is>
          <t xml:space="preserve">Yes</t>
        </is>
      </c>
      <c r="O430" s="14" t="inlineStr">
        <is>
          <t xml:space="preserve">Active</t>
        </is>
      </c>
      <c r="P430" s="14"/>
    </row>
    <row r="431">
      <c r="A431" s="14" t="inlineStr">
        <is>
          <t xml:space="preserve">RR-0451</t>
        </is>
      </c>
      <c r="B431" s="14" t="inlineStr">
        <is>
          <t xml:space="preserve">Deployment, Domains &amp; Monitoring</t>
        </is>
      </c>
      <c r="C431" s="14" t="inlineStr">
        <is>
          <t xml:space="preserve">Production deployment</t>
        </is>
      </c>
      <c r="D431" s="14" t="inlineStr">
        <is>
          <t xml:space="preserve">Deployment</t>
        </is>
      </c>
      <c r="E431" s="14" t="inlineStr">
        <is>
          <t xml:space="preserve">Environment variable is missing</t>
        </is>
      </c>
      <c r="F431" s="14" t="inlineStr">
        <is>
          <t xml:space="preserve">Critical</t>
        </is>
      </c>
      <c r="G431" s="14" t="inlineStr">
        <is>
          <t xml:space="preserve">Medium</t>
        </is>
      </c>
      <c r="H431" s="14" t="inlineStr">
        <is>
          <t xml:space="preserve">Beta</t>
        </is>
      </c>
      <c r="I431" s="14" t="inlineStr">
        <is>
          <t xml:space="preserve">Production-like deployment with DNS, TLS, logging and alerting configured.</t>
        </is>
      </c>
      <c r="J431" s="14" t="inlineStr">
        <is>
          <t xml:space="preserve">1. Prepare the stated preconditions and sign in with the required role.
2. Navigate to Production deployment.
3. Execute: Environment variable is missing.
4. Refresh or reopen the relevant page and inspect persisted data.
5. Verify UI feedback, permissions, notifications and audit records where applicable.</t>
        </is>
      </c>
      <c r="K431" s="14" t="inlineStr">
        <is>
          <t xml:space="preserve">rocketrota.com, app/admin/dev subdomains and /clock route</t>
        </is>
      </c>
      <c r="L431" s="14" t="inlineStr">
        <is>
          <t xml:space="preserve">Deployment fails fast or feature degrades safely; secret value is not printed.</t>
        </is>
      </c>
      <c r="M431" s="14" t="inlineStr">
        <is>
          <t xml:space="preserve">Candidate</t>
        </is>
      </c>
      <c r="N431" s="14" t="inlineStr">
        <is>
          <t xml:space="preserve">Yes</t>
        </is>
      </c>
      <c r="O431" s="14" t="inlineStr">
        <is>
          <t xml:space="preserve">Active</t>
        </is>
      </c>
      <c r="P431" s="14"/>
    </row>
    <row r="432">
      <c r="A432" s="14" t="inlineStr">
        <is>
          <t xml:space="preserve">RR-0452</t>
        </is>
      </c>
      <c r="B432" s="14" t="inlineStr">
        <is>
          <t xml:space="preserve">Deployment, Domains &amp; Monitoring</t>
        </is>
      </c>
      <c r="C432" s="14" t="inlineStr">
        <is>
          <t xml:space="preserve">Production deployment</t>
        </is>
      </c>
      <c r="D432" s="14" t="inlineStr">
        <is>
          <t xml:space="preserve">Deployment</t>
        </is>
      </c>
      <c r="E432" s="14" t="inlineStr">
        <is>
          <t xml:space="preserve">Run database migration</t>
        </is>
      </c>
      <c r="F432" s="14" t="inlineStr">
        <is>
          <t xml:space="preserve">Critical</t>
        </is>
      </c>
      <c r="G432" s="14" t="inlineStr">
        <is>
          <t xml:space="preserve">Medium</t>
        </is>
      </c>
      <c r="H432" s="14" t="inlineStr">
        <is>
          <t xml:space="preserve">Beta</t>
        </is>
      </c>
      <c r="I432" s="14" t="inlineStr">
        <is>
          <t xml:space="preserve">Production-like deployment with DNS, TLS, logging and alerting configured.</t>
        </is>
      </c>
      <c r="J432" s="14" t="inlineStr">
        <is>
          <t xml:space="preserve">1. Prepare the stated preconditions and sign in with the required role.
2. Navigate to Production deployment.
3. Execute: Run database migration.
4. Refresh or reopen the relevant page and inspect persisted data.
5. Verify UI feedback, permissions, notifications and audit records where applicable.</t>
        </is>
      </c>
      <c r="K432" s="14" t="inlineStr">
        <is>
          <t xml:space="preserve">rocketrota.com, app/admin/dev subdomains and /clock route</t>
        </is>
      </c>
      <c r="L432" s="14" t="inlineStr">
        <is>
          <t xml:space="preserve">Migration is backward-compatible or coordinated and can be verified/rolled back.</t>
        </is>
      </c>
      <c r="M432" s="14" t="inlineStr">
        <is>
          <t xml:space="preserve">Candidate</t>
        </is>
      </c>
      <c r="N432" s="14" t="inlineStr">
        <is>
          <t xml:space="preserve">Yes</t>
        </is>
      </c>
      <c r="O432" s="14" t="inlineStr">
        <is>
          <t xml:space="preserve">Active</t>
        </is>
      </c>
      <c r="P432" s="14"/>
    </row>
    <row r="433">
      <c r="A433" s="14" t="inlineStr">
        <is>
          <t xml:space="preserve">RR-0453</t>
        </is>
      </c>
      <c r="B433" s="14" t="inlineStr">
        <is>
          <t xml:space="preserve">Deployment, Domains &amp; Monitoring</t>
        </is>
      </c>
      <c r="C433" s="14" t="inlineStr">
        <is>
          <t xml:space="preserve">Production deployment</t>
        </is>
      </c>
      <c r="D433" s="14" t="inlineStr">
        <is>
          <t xml:space="preserve">Deployment</t>
        </is>
      </c>
      <c r="E433" s="14" t="inlineStr">
        <is>
          <t xml:space="preserve">Deploy while users are active</t>
        </is>
      </c>
      <c r="F433" s="14" t="inlineStr">
        <is>
          <t xml:space="preserve">High</t>
        </is>
      </c>
      <c r="G433" s="14" t="inlineStr">
        <is>
          <t xml:space="preserve">Medium</t>
        </is>
      </c>
      <c r="H433" s="14" t="inlineStr">
        <is>
          <t xml:space="preserve">Beta</t>
        </is>
      </c>
      <c r="I433" s="14" t="inlineStr">
        <is>
          <t xml:space="preserve">Production-like deployment with DNS, TLS, logging and alerting configured.</t>
        </is>
      </c>
      <c r="J433" s="14" t="inlineStr">
        <is>
          <t xml:space="preserve">1. Prepare the stated preconditions and sign in with the required role.
2. Navigate to Production deployment.
3. Execute: Deploy while users are active.
4. Refresh or reopen the relevant page and inspect persisted data.
5. Verify UI feedback, permissions, notifications and audit records where applicable.</t>
        </is>
      </c>
      <c r="K433" s="14" t="inlineStr">
        <is>
          <t xml:space="preserve">rocketrota.com, app/admin/dev subdomains and /clock route</t>
        </is>
      </c>
      <c r="L433" s="14" t="inlineStr">
        <is>
          <t xml:space="preserve">Sessions and in-flight usage survive or recover without data corruption.</t>
        </is>
      </c>
      <c r="M433" s="14" t="inlineStr">
        <is>
          <t xml:space="preserve">Candidate</t>
        </is>
      </c>
      <c r="N433" s="14" t="inlineStr">
        <is>
          <t xml:space="preserve">Yes</t>
        </is>
      </c>
      <c r="O433" s="14" t="inlineStr">
        <is>
          <t xml:space="preserve">Active</t>
        </is>
      </c>
      <c r="P433" s="14"/>
    </row>
    <row r="434">
      <c r="A434" s="14" t="inlineStr">
        <is>
          <t xml:space="preserve">RR-0454</t>
        </is>
      </c>
      <c r="B434" s="14" t="inlineStr">
        <is>
          <t xml:space="preserve">Deployment, Domains &amp; Monitoring</t>
        </is>
      </c>
      <c r="C434" s="14" t="inlineStr">
        <is>
          <t xml:space="preserve">Observability and operations</t>
        </is>
      </c>
      <c r="D434" s="14" t="inlineStr">
        <is>
          <t xml:space="preserve">Monitoring</t>
        </is>
      </c>
      <c r="E434" s="14" t="inlineStr">
        <is>
          <t xml:space="preserve">Trigger a controlled server error</t>
        </is>
      </c>
      <c r="F434" s="14" t="inlineStr">
        <is>
          <t xml:space="preserve">Critical</t>
        </is>
      </c>
      <c r="G434" s="14" t="inlineStr">
        <is>
          <t xml:space="preserve">Medium</t>
        </is>
      </c>
      <c r="H434" s="14" t="inlineStr">
        <is>
          <t xml:space="preserve">Beta</t>
        </is>
      </c>
      <c r="I434" s="14" t="inlineStr">
        <is>
          <t xml:space="preserve">Production-like deployment with DNS, TLS, logging and alerting configured.</t>
        </is>
      </c>
      <c r="J434" s="14" t="inlineStr">
        <is>
          <t xml:space="preserve">1. Prepare the stated preconditions and sign in with the required role.
2. Navigate to Observability and operations.
3. Execute: Trigger a controlled server error.
4. Refresh or reopen the relevant page and inspect persisted data.
5. Verify UI feedback, permissions, notifications and audit records where applicable.</t>
        </is>
      </c>
      <c r="K434" s="14" t="inlineStr">
        <is>
          <t xml:space="preserve">rocketrota.com, app/admin/dev subdomains and /clock route</t>
        </is>
      </c>
      <c r="L434" s="14" t="inlineStr">
        <is>
          <t xml:space="preserve">Error tracker records release, environment, route and correlation context without sensitive data.</t>
        </is>
      </c>
      <c r="M434" s="14" t="inlineStr">
        <is>
          <t xml:space="preserve">Candidate</t>
        </is>
      </c>
      <c r="N434" s="14" t="inlineStr">
        <is>
          <t xml:space="preserve">Yes</t>
        </is>
      </c>
      <c r="O434" s="14" t="inlineStr">
        <is>
          <t xml:space="preserve">Active</t>
        </is>
      </c>
      <c r="P434" s="14"/>
    </row>
    <row r="435">
      <c r="A435" s="14" t="inlineStr">
        <is>
          <t xml:space="preserve">RR-0455</t>
        </is>
      </c>
      <c r="B435" s="14" t="inlineStr">
        <is>
          <t xml:space="preserve">Deployment, Domains &amp; Monitoring</t>
        </is>
      </c>
      <c r="C435" s="14" t="inlineStr">
        <is>
          <t xml:space="preserve">Observability and operations</t>
        </is>
      </c>
      <c r="D435" s="14" t="inlineStr">
        <is>
          <t xml:space="preserve">Monitoring</t>
        </is>
      </c>
      <c r="E435" s="14" t="inlineStr">
        <is>
          <t xml:space="preserve">Health check detects unhealthy app</t>
        </is>
      </c>
      <c r="F435" s="14" t="inlineStr">
        <is>
          <t xml:space="preserve">Critical</t>
        </is>
      </c>
      <c r="G435" s="14" t="inlineStr">
        <is>
          <t xml:space="preserve">Medium</t>
        </is>
      </c>
      <c r="H435" s="14" t="inlineStr">
        <is>
          <t xml:space="preserve">Beta</t>
        </is>
      </c>
      <c r="I435" s="14" t="inlineStr">
        <is>
          <t xml:space="preserve">Production-like deployment with DNS, TLS, logging and alerting configured.</t>
        </is>
      </c>
      <c r="J435" s="14" t="inlineStr">
        <is>
          <t xml:space="preserve">1. Prepare the stated preconditions and sign in with the required role.
2. Navigate to Observability and operations.
3. Execute: Health check detects unhealthy app.
4. Refresh or reopen the relevant page and inspect persisted data.
5. Verify UI feedback, permissions, notifications and audit records where applicable.</t>
        </is>
      </c>
      <c r="K435" s="14" t="inlineStr">
        <is>
          <t xml:space="preserve">rocketrota.com, app/admin/dev subdomains and /clock route</t>
        </is>
      </c>
      <c r="L435" s="14" t="inlineStr">
        <is>
          <t xml:space="preserve">Coolify/monitoring alerts and restart/failover behaviour follows policy.</t>
        </is>
      </c>
      <c r="M435" s="14" t="inlineStr">
        <is>
          <t xml:space="preserve">Candidate</t>
        </is>
      </c>
      <c r="N435" s="14" t="inlineStr">
        <is>
          <t xml:space="preserve">Yes</t>
        </is>
      </c>
      <c r="O435" s="14" t="inlineStr">
        <is>
          <t xml:space="preserve">Active</t>
        </is>
      </c>
      <c r="P435" s="14"/>
    </row>
    <row r="436">
      <c r="A436" s="14" t="inlineStr">
        <is>
          <t xml:space="preserve">RR-0456</t>
        </is>
      </c>
      <c r="B436" s="14" t="inlineStr">
        <is>
          <t xml:space="preserve">Deployment, Domains &amp; Monitoring</t>
        </is>
      </c>
      <c r="C436" s="14" t="inlineStr">
        <is>
          <t xml:space="preserve">Observability and operations</t>
        </is>
      </c>
      <c r="D436" s="14" t="inlineStr">
        <is>
          <t xml:space="preserve">Monitoring</t>
        </is>
      </c>
      <c r="E436" s="14" t="inlineStr">
        <is>
          <t xml:space="preserve">Certificate approaches expiry</t>
        </is>
      </c>
      <c r="F436" s="14" t="inlineStr">
        <is>
          <t xml:space="preserve">High</t>
        </is>
      </c>
      <c r="G436" s="14" t="inlineStr">
        <is>
          <t xml:space="preserve">Medium</t>
        </is>
      </c>
      <c r="H436" s="14" t="inlineStr">
        <is>
          <t xml:space="preserve">Beta</t>
        </is>
      </c>
      <c r="I436" s="14" t="inlineStr">
        <is>
          <t xml:space="preserve">Production-like deployment with DNS, TLS, logging and alerting configured.</t>
        </is>
      </c>
      <c r="J436" s="14" t="inlineStr">
        <is>
          <t xml:space="preserve">1. Prepare the stated preconditions and sign in with the required role.
2. Navigate to Observability and operations.
3. Execute: Certificate approaches expiry.
4. Refresh or reopen the relevant page and inspect persisted data.
5. Verify UI feedback, permissions, notifications and audit records where applicable.</t>
        </is>
      </c>
      <c r="K436" s="14" t="inlineStr">
        <is>
          <t xml:space="preserve">rocketrota.com, app/admin/dev subdomains and /clock route</t>
        </is>
      </c>
      <c r="L436" s="14" t="inlineStr">
        <is>
          <t xml:space="preserve">Monitoring alerts with sufficient lead time.</t>
        </is>
      </c>
      <c r="M436" s="14" t="inlineStr">
        <is>
          <t xml:space="preserve">Candidate</t>
        </is>
      </c>
      <c r="N436" s="14" t="inlineStr">
        <is>
          <t xml:space="preserve">Yes</t>
        </is>
      </c>
      <c r="O436" s="14" t="inlineStr">
        <is>
          <t xml:space="preserve">Active</t>
        </is>
      </c>
      <c r="P436" s="14"/>
    </row>
    <row r="437">
      <c r="A437" s="14" t="inlineStr">
        <is>
          <t xml:space="preserve">RR-0457</t>
        </is>
      </c>
      <c r="B437" s="14" t="inlineStr">
        <is>
          <t xml:space="preserve">Deployment, Domains &amp; Monitoring</t>
        </is>
      </c>
      <c r="C437" s="14" t="inlineStr">
        <is>
          <t xml:space="preserve">Observability and operations</t>
        </is>
      </c>
      <c r="D437" s="14" t="inlineStr">
        <is>
          <t xml:space="preserve">Monitoring</t>
        </is>
      </c>
      <c r="E437" s="14" t="inlineStr">
        <is>
          <t xml:space="preserve">Backup job fails</t>
        </is>
      </c>
      <c r="F437" s="14" t="inlineStr">
        <is>
          <t xml:space="preserve">Critical</t>
        </is>
      </c>
      <c r="G437" s="14" t="inlineStr">
        <is>
          <t xml:space="preserve">Medium</t>
        </is>
      </c>
      <c r="H437" s="14" t="inlineStr">
        <is>
          <t xml:space="preserve">Beta</t>
        </is>
      </c>
      <c r="I437" s="14" t="inlineStr">
        <is>
          <t xml:space="preserve">Production-like deployment with DNS, TLS, logging and alerting configured.</t>
        </is>
      </c>
      <c r="J437" s="14" t="inlineStr">
        <is>
          <t xml:space="preserve">1. Prepare the stated preconditions and sign in with the required role.
2. Navigate to Observability and operations.
3. Execute: Backup job fails.
4. Refresh or reopen the relevant page and inspect persisted data.
5. Verify UI feedback, permissions, notifications and audit records where applicable.</t>
        </is>
      </c>
      <c r="K437" s="14" t="inlineStr">
        <is>
          <t xml:space="preserve">rocketrota.com, app/admin/dev subdomains and /clock route</t>
        </is>
      </c>
      <c r="L437" s="14" t="inlineStr">
        <is>
          <t xml:space="preserve">Operations receive an actionable alert.</t>
        </is>
      </c>
      <c r="M437" s="14" t="inlineStr">
        <is>
          <t xml:space="preserve">Candidate</t>
        </is>
      </c>
      <c r="N437" s="14" t="inlineStr">
        <is>
          <t xml:space="preserve">Yes</t>
        </is>
      </c>
      <c r="O437" s="14" t="inlineStr">
        <is>
          <t xml:space="preserve">Active</t>
        </is>
      </c>
      <c r="P437" s="14"/>
    </row>
    <row r="438">
      <c r="A438" s="14" t="inlineStr">
        <is>
          <t xml:space="preserve">RR-0458</t>
        </is>
      </c>
      <c r="B438" s="14" t="inlineStr">
        <is>
          <t xml:space="preserve">Deployment, Domains &amp; Monitoring</t>
        </is>
      </c>
      <c r="C438" s="14" t="inlineStr">
        <is>
          <t xml:space="preserve">Observability and operations</t>
        </is>
      </c>
      <c r="D438" s="14" t="inlineStr">
        <is>
          <t xml:space="preserve">Monitoring</t>
        </is>
      </c>
      <c r="E438" s="14" t="inlineStr">
        <is>
          <t xml:space="preserve">Clock-in validation failure rate spikes</t>
        </is>
      </c>
      <c r="F438" s="14" t="inlineStr">
        <is>
          <t xml:space="preserve">High</t>
        </is>
      </c>
      <c r="G438" s="14" t="inlineStr">
        <is>
          <t xml:space="preserve">Medium</t>
        </is>
      </c>
      <c r="H438" s="14" t="inlineStr">
        <is>
          <t xml:space="preserve">Beta</t>
        </is>
      </c>
      <c r="I438" s="14" t="inlineStr">
        <is>
          <t xml:space="preserve">Production-like deployment with DNS, TLS, logging and alerting configured.</t>
        </is>
      </c>
      <c r="J438" s="14" t="inlineStr">
        <is>
          <t xml:space="preserve">1. Prepare the stated preconditions and sign in with the required role.
2. Navigate to Observability and operations.
3. Execute: Clock-in validation failure rate spikes.
4. Refresh or reopen the relevant page and inspect persisted data.
5. Verify UI feedback, permissions, notifications and audit records where applicable.</t>
        </is>
      </c>
      <c r="K438" s="14" t="inlineStr">
        <is>
          <t xml:space="preserve">rocketrota.com, app/admin/dev subdomains and /clock route</t>
        </is>
      </c>
      <c r="L438" s="14" t="inlineStr">
        <is>
          <t xml:space="preserve">Alert identifies station/location trend without exposing secrets.</t>
        </is>
      </c>
      <c r="M438" s="14" t="inlineStr">
        <is>
          <t xml:space="preserve">Candidate</t>
        </is>
      </c>
      <c r="N438" s="14" t="inlineStr">
        <is>
          <t xml:space="preserve">Yes</t>
        </is>
      </c>
      <c r="O438" s="14" t="inlineStr">
        <is>
          <t xml:space="preserve">Active</t>
        </is>
      </c>
      <c r="P438" s="14"/>
    </row>
    <row r="439">
      <c r="A439" s="14" t="inlineStr">
        <is>
          <t xml:space="preserve">RR-0459</t>
        </is>
      </c>
      <c r="B439" s="14" t="inlineStr">
        <is>
          <t xml:space="preserve">Deployment, Domains &amp; Monitoring</t>
        </is>
      </c>
      <c r="C439" s="14" t="inlineStr">
        <is>
          <t xml:space="preserve">Observability and operations</t>
        </is>
      </c>
      <c r="D439" s="14" t="inlineStr">
        <is>
          <t xml:space="preserve">Monitoring</t>
        </is>
      </c>
      <c r="E439" s="14" t="inlineStr">
        <is>
          <t xml:space="preserve">Payment failure/webhook backlog grows</t>
        </is>
      </c>
      <c r="F439" s="14" t="inlineStr">
        <is>
          <t xml:space="preserve">High</t>
        </is>
      </c>
      <c r="G439" s="14" t="inlineStr">
        <is>
          <t xml:space="preserve">Medium</t>
        </is>
      </c>
      <c r="H439" s="14" t="inlineStr">
        <is>
          <t xml:space="preserve">Beta</t>
        </is>
      </c>
      <c r="I439" s="14" t="inlineStr">
        <is>
          <t xml:space="preserve">Production-like deployment with DNS, TLS, logging and alerting configured.</t>
        </is>
      </c>
      <c r="J439" s="14" t="inlineStr">
        <is>
          <t xml:space="preserve">1. Prepare the stated preconditions and sign in with the required role.
2. Navigate to Observability and operations.
3. Execute: Payment failure/webhook backlog grows.
4. Refresh or reopen the relevant page and inspect persisted data.
5. Verify UI feedback, permissions, notifications and audit records where applicable.</t>
        </is>
      </c>
      <c r="K439" s="14" t="inlineStr">
        <is>
          <t xml:space="preserve">rocketrota.com, app/admin/dev subdomains and /clock route</t>
        </is>
      </c>
      <c r="L439" s="14" t="inlineStr">
        <is>
          <t xml:space="preserve">Alert and admin visibility allow recovery before customer impact expands.</t>
        </is>
      </c>
      <c r="M439" s="14" t="inlineStr">
        <is>
          <t xml:space="preserve">Candidate</t>
        </is>
      </c>
      <c r="N439" s="14" t="inlineStr">
        <is>
          <t xml:space="preserve">Yes</t>
        </is>
      </c>
      <c r="O439" s="14" t="inlineStr">
        <is>
          <t xml:space="preserve">Active</t>
        </is>
      </c>
      <c r="P439" s="14"/>
    </row>
    <row r="440">
      <c r="A440" s="14" t="inlineStr">
        <is>
          <t xml:space="preserve">RR-0460</t>
        </is>
      </c>
      <c r="B440" s="14" t="inlineStr">
        <is>
          <t xml:space="preserve">Deployment, Domains &amp; Monitoring</t>
        </is>
      </c>
      <c r="C440" s="14" t="inlineStr">
        <is>
          <t xml:space="preserve">Observability and operations</t>
        </is>
      </c>
      <c r="D440" s="14" t="inlineStr">
        <is>
          <t xml:space="preserve">Security</t>
        </is>
      </c>
      <c r="E440" s="14" t="inlineStr">
        <is>
          <t xml:space="preserve">Review production logs</t>
        </is>
      </c>
      <c r="F440" s="14" t="inlineStr">
        <is>
          <t xml:space="preserve">High</t>
        </is>
      </c>
      <c r="G440" s="14" t="inlineStr">
        <is>
          <t xml:space="preserve">Medium</t>
        </is>
      </c>
      <c r="H440" s="14" t="inlineStr">
        <is>
          <t xml:space="preserve">Beta</t>
        </is>
      </c>
      <c r="I440" s="14" t="inlineStr">
        <is>
          <t xml:space="preserve">Production-like deployment with DNS, TLS, logging and alerting configured.</t>
        </is>
      </c>
      <c r="J440" s="14" t="inlineStr">
        <is>
          <t xml:space="preserve">1. Prepare the stated preconditions and sign in with the required role.
2. Navigate to Observability and operations.
3. Execute: Review production logs.
4. Refresh or reopen the relevant page and inspect persisted data.
5. Verify UI feedback, permissions, notifications and audit records where applicable.</t>
        </is>
      </c>
      <c r="K440" s="14" t="inlineStr">
        <is>
          <t xml:space="preserve">rocketrota.com, app/admin/dev subdomains and /clock route</t>
        </is>
      </c>
      <c r="L440" s="14" t="inlineStr">
        <is>
          <t xml:space="preserve">Retention, access controls and redaction meet policy.</t>
        </is>
      </c>
      <c r="M440" s="14" t="inlineStr">
        <is>
          <t xml:space="preserve">Candidate</t>
        </is>
      </c>
      <c r="N440" s="14" t="inlineStr">
        <is>
          <t xml:space="preserve">Yes</t>
        </is>
      </c>
      <c r="O440" s="14" t="inlineStr">
        <is>
          <t xml:space="preserve">Active</t>
        </is>
      </c>
      <c r="P440" s="14"/>
    </row>
    <row r="441">
      <c r="A441" s="14" t="inlineStr">
        <is>
          <t xml:space="preserve">RR-0461</t>
        </is>
      </c>
      <c r="B441" s="14" t="inlineStr">
        <is>
          <t xml:space="preserve">Data Lifecycle &amp; Recovery</t>
        </is>
      </c>
      <c r="C441" s="14" t="inlineStr">
        <is>
          <t xml:space="preserve">Retention, deletion and export</t>
        </is>
      </c>
      <c r="D441" s="14" t="inlineStr">
        <is>
          <t xml:space="preserve">Security</t>
        </is>
      </c>
      <c r="E441" s="14" t="inlineStr">
        <is>
          <t xml:space="preserve">Customer exports organisation data</t>
        </is>
      </c>
      <c r="F441" s="14" t="inlineStr">
        <is>
          <t xml:space="preserve">Critical</t>
        </is>
      </c>
      <c r="G441" s="14" t="inlineStr">
        <is>
          <t xml:space="preserve">Medium</t>
        </is>
      </c>
      <c r="H441" s="14" t="inlineStr">
        <is>
          <t xml:space="preserve">Beta</t>
        </is>
      </c>
      <c r="I441" s="14" t="inlineStr">
        <is>
          <t xml:space="preserve">Test organisation with representative historical records and backup access.</t>
        </is>
      </c>
      <c r="J441" s="14" t="inlineStr">
        <is>
          <t xml:space="preserve">1. Prepare the stated preconditions and sign in with the required role.
2. Navigate to Retention, deletion and export.
3. Execute: Customer exports organisation data.
4. Refresh or reopen the relevant page and inspect persisted data.
5. Verify UI feedback, permissions, notifications and audit records where applicable.</t>
        </is>
      </c>
      <c r="K441" s="14" t="inlineStr">
        <is>
          <t xml:space="preserve">Exports, deleted records, retention windows and restored backup</t>
        </is>
      </c>
      <c r="L441" s="14" t="inlineStr">
        <is>
          <t xml:space="preserve">Export contains authorised data in a usable format and excludes other tenants.</t>
        </is>
      </c>
      <c r="M441" s="14" t="inlineStr">
        <is>
          <t xml:space="preserve">Candidate</t>
        </is>
      </c>
      <c r="N441" s="14" t="inlineStr">
        <is>
          <t xml:space="preserve">Yes</t>
        </is>
      </c>
      <c r="O441" s="14" t="inlineStr">
        <is>
          <t xml:space="preserve">Active</t>
        </is>
      </c>
      <c r="P441" s="14"/>
    </row>
    <row r="442">
      <c r="A442" s="14" t="inlineStr">
        <is>
          <t xml:space="preserve">RR-0462</t>
        </is>
      </c>
      <c r="B442" s="14" t="inlineStr">
        <is>
          <t xml:space="preserve">Data Lifecycle &amp; Recovery</t>
        </is>
      </c>
      <c r="C442" s="14" t="inlineStr">
        <is>
          <t xml:space="preserve">Retention, deletion and export</t>
        </is>
      </c>
      <c r="D442" s="14" t="inlineStr">
        <is>
          <t xml:space="preserve">Compliance</t>
        </is>
      </c>
      <c r="E442" s="14" t="inlineStr">
        <is>
          <t xml:space="preserve">Employee requests access to their personal data</t>
        </is>
      </c>
      <c r="F442" s="14" t="inlineStr">
        <is>
          <t xml:space="preserve">High</t>
        </is>
      </c>
      <c r="G442" s="14" t="inlineStr">
        <is>
          <t xml:space="preserve">Medium</t>
        </is>
      </c>
      <c r="H442" s="14" t="inlineStr">
        <is>
          <t xml:space="preserve">Beta</t>
        </is>
      </c>
      <c r="I442" s="14" t="inlineStr">
        <is>
          <t xml:space="preserve">Test organisation with representative historical records and backup access.</t>
        </is>
      </c>
      <c r="J442" s="14" t="inlineStr">
        <is>
          <t xml:space="preserve">1. Prepare the stated preconditions and sign in with the required role.
2. Navigate to Retention, deletion and export.
3. Execute: Employee requests access to their personal data.
4. Refresh or reopen the relevant page and inspect persisted data.
5. Verify UI feedback, permissions, notifications and audit records where applicable.</t>
        </is>
      </c>
      <c r="K442" s="14" t="inlineStr">
        <is>
          <t xml:space="preserve">Exports, deleted records, retention windows and restored backup</t>
        </is>
      </c>
      <c r="L442" s="14" t="inlineStr">
        <is>
          <t xml:space="preserve">Organisation can retrieve relevant personal data consistently.</t>
        </is>
      </c>
      <c r="M442" s="14" t="inlineStr">
        <is>
          <t xml:space="preserve">Candidate</t>
        </is>
      </c>
      <c r="N442" s="14" t="inlineStr">
        <is>
          <t xml:space="preserve">Yes</t>
        </is>
      </c>
      <c r="O442" s="14" t="inlineStr">
        <is>
          <t xml:space="preserve">Active</t>
        </is>
      </c>
      <c r="P442" s="14"/>
    </row>
    <row r="443">
      <c r="A443" s="14" t="inlineStr">
        <is>
          <t xml:space="preserve">RR-0463</t>
        </is>
      </c>
      <c r="B443" s="14" t="inlineStr">
        <is>
          <t xml:space="preserve">Data Lifecycle &amp; Recovery</t>
        </is>
      </c>
      <c r="C443" s="14" t="inlineStr">
        <is>
          <t xml:space="preserve">Retention, deletion and export</t>
        </is>
      </c>
      <c r="D443" s="14" t="inlineStr">
        <is>
          <t xml:space="preserve">Compliance</t>
        </is>
      </c>
      <c r="E443" s="14" t="inlineStr">
        <is>
          <t xml:space="preserve">Employee is removed from organisation</t>
        </is>
      </c>
      <c r="F443" s="14" t="inlineStr">
        <is>
          <t xml:space="preserve">Critical</t>
        </is>
      </c>
      <c r="G443" s="14" t="inlineStr">
        <is>
          <t xml:space="preserve">Medium</t>
        </is>
      </c>
      <c r="H443" s="14" t="inlineStr">
        <is>
          <t xml:space="preserve">Beta</t>
        </is>
      </c>
      <c r="I443" s="14" t="inlineStr">
        <is>
          <t xml:space="preserve">Test organisation with representative historical records and backup access.</t>
        </is>
      </c>
      <c r="J443" s="14" t="inlineStr">
        <is>
          <t xml:space="preserve">1. Prepare the stated preconditions and sign in with the required role.
2. Navigate to Retention, deletion and export.
3. Execute: Employee is removed from organisation.
4. Refresh or reopen the relevant page and inspect persisted data.
5. Verify UI feedback, permissions, notifications and audit records where applicable.</t>
        </is>
      </c>
      <c r="K443" s="14" t="inlineStr">
        <is>
          <t xml:space="preserve">Exports, deleted records, retention windows and restored backup</t>
        </is>
      </c>
      <c r="L443" s="14" t="inlineStr">
        <is>
          <t xml:space="preserve">Access stops while legally/business-required historical rota and payroll records remain appropriately retained.</t>
        </is>
      </c>
      <c r="M443" s="14" t="inlineStr">
        <is>
          <t xml:space="preserve">Candidate</t>
        </is>
      </c>
      <c r="N443" s="14" t="inlineStr">
        <is>
          <t xml:space="preserve">Yes</t>
        </is>
      </c>
      <c r="O443" s="14" t="inlineStr">
        <is>
          <t xml:space="preserve">Active</t>
        </is>
      </c>
      <c r="P443" s="14"/>
    </row>
    <row r="444">
      <c r="A444" s="14" t="inlineStr">
        <is>
          <t xml:space="preserve">RR-0464</t>
        </is>
      </c>
      <c r="B444" s="14" t="inlineStr">
        <is>
          <t xml:space="preserve">Data Lifecycle &amp; Recovery</t>
        </is>
      </c>
      <c r="C444" s="14" t="inlineStr">
        <is>
          <t xml:space="preserve">Retention, deletion and export</t>
        </is>
      </c>
      <c r="D444" s="14" t="inlineStr">
        <is>
          <t xml:space="preserve">Compliance</t>
        </is>
      </c>
      <c r="E444" s="14" t="inlineStr">
        <is>
          <t xml:space="preserve">Organisation requests deletion</t>
        </is>
      </c>
      <c r="F444" s="14" t="inlineStr">
        <is>
          <t xml:space="preserve">Critical</t>
        </is>
      </c>
      <c r="G444" s="14" t="inlineStr">
        <is>
          <t xml:space="preserve">Medium</t>
        </is>
      </c>
      <c r="H444" s="14" t="inlineStr">
        <is>
          <t xml:space="preserve">Beta</t>
        </is>
      </c>
      <c r="I444" s="14" t="inlineStr">
        <is>
          <t xml:space="preserve">Test organisation with representative historical records and backup access.</t>
        </is>
      </c>
      <c r="J444" s="14" t="inlineStr">
        <is>
          <t xml:space="preserve">1. Prepare the stated preconditions and sign in with the required role.
2. Navigate to Retention, deletion and export.
3. Execute: Organisation requests deletion.
4. Refresh or reopen the relevant page and inspect persisted data.
5. Verify UI feedback, permissions, notifications and audit records where applicable.</t>
        </is>
      </c>
      <c r="K444" s="14" t="inlineStr">
        <is>
          <t xml:space="preserve">Exports, deleted records, retention windows and restored backup</t>
        </is>
      </c>
      <c r="L444" s="14" t="inlineStr">
        <is>
          <t xml:space="preserve">Deletion workflow confirms scope, handles retention obligations and removes access promptly.</t>
        </is>
      </c>
      <c r="M444" s="14" t="inlineStr">
        <is>
          <t xml:space="preserve">Candidate</t>
        </is>
      </c>
      <c r="N444" s="14" t="inlineStr">
        <is>
          <t xml:space="preserve">Yes</t>
        </is>
      </c>
      <c r="O444" s="14" t="inlineStr">
        <is>
          <t xml:space="preserve">Active</t>
        </is>
      </c>
      <c r="P444" s="14"/>
    </row>
    <row r="445">
      <c r="A445" s="14" t="inlineStr">
        <is>
          <t xml:space="preserve">RR-0465</t>
        </is>
      </c>
      <c r="B445" s="14" t="inlineStr">
        <is>
          <t xml:space="preserve">Data Lifecycle &amp; Recovery</t>
        </is>
      </c>
      <c r="C445" s="14" t="inlineStr">
        <is>
          <t xml:space="preserve">Retention, deletion and export</t>
        </is>
      </c>
      <c r="D445" s="14" t="inlineStr">
        <is>
          <t xml:space="preserve">Security</t>
        </is>
      </c>
      <c r="E445" s="14" t="inlineStr">
        <is>
          <t xml:space="preserve">Deleted employee email is reused later</t>
        </is>
      </c>
      <c r="F445" s="14" t="inlineStr">
        <is>
          <t xml:space="preserve">High</t>
        </is>
      </c>
      <c r="G445" s="14" t="inlineStr">
        <is>
          <t xml:space="preserve">Medium</t>
        </is>
      </c>
      <c r="H445" s="14" t="inlineStr">
        <is>
          <t xml:space="preserve">Beta</t>
        </is>
      </c>
      <c r="I445" s="14" t="inlineStr">
        <is>
          <t xml:space="preserve">Test organisation with representative historical records and backup access.</t>
        </is>
      </c>
      <c r="J445" s="14" t="inlineStr">
        <is>
          <t xml:space="preserve">1. Prepare the stated preconditions and sign in with the required role.
2. Navigate to Retention, deletion and export.
3. Execute: Deleted employee email is reused later.
4. Refresh or reopen the relevant page and inspect persisted data.
5. Verify UI feedback, permissions, notifications and audit records where applicable.</t>
        </is>
      </c>
      <c r="K445" s="14" t="inlineStr">
        <is>
          <t xml:space="preserve">Exports, deleted records, retention windows and restored backup</t>
        </is>
      </c>
      <c r="L445" s="14" t="inlineStr">
        <is>
          <t xml:space="preserve">Identity/history linking follows policy without exposing prior private records.</t>
        </is>
      </c>
      <c r="M445" s="14" t="inlineStr">
        <is>
          <t xml:space="preserve">Candidate</t>
        </is>
      </c>
      <c r="N445" s="14" t="inlineStr">
        <is>
          <t xml:space="preserve">Yes</t>
        </is>
      </c>
      <c r="O445" s="14" t="inlineStr">
        <is>
          <t xml:space="preserve">Active</t>
        </is>
      </c>
      <c r="P445" s="14"/>
    </row>
    <row r="446">
      <c r="A446" s="14" t="inlineStr">
        <is>
          <t xml:space="preserve">RR-0466</t>
        </is>
      </c>
      <c r="B446" s="14" t="inlineStr">
        <is>
          <t xml:space="preserve">Data Lifecycle &amp; Recovery</t>
        </is>
      </c>
      <c r="C446" s="14" t="inlineStr">
        <is>
          <t xml:space="preserve">Retention, deletion and export</t>
        </is>
      </c>
      <c r="D446" s="14" t="inlineStr">
        <is>
          <t xml:space="preserve">Compliance</t>
        </is>
      </c>
      <c r="E446" s="14" t="inlineStr">
        <is>
          <t xml:space="preserve">Audit records reach retention limit</t>
        </is>
      </c>
      <c r="F446" s="14" t="inlineStr">
        <is>
          <t xml:space="preserve">High</t>
        </is>
      </c>
      <c r="G446" s="14" t="inlineStr">
        <is>
          <t xml:space="preserve">Medium</t>
        </is>
      </c>
      <c r="H446" s="14" t="inlineStr">
        <is>
          <t xml:space="preserve">Beta</t>
        </is>
      </c>
      <c r="I446" s="14" t="inlineStr">
        <is>
          <t xml:space="preserve">Test organisation with representative historical records and backup access.</t>
        </is>
      </c>
      <c r="J446" s="14" t="inlineStr">
        <is>
          <t xml:space="preserve">1. Prepare the stated preconditions and sign in with the required role.
2. Navigate to Retention, deletion and export.
3. Execute: Audit records reach retention limit.
4. Refresh or reopen the relevant page and inspect persisted data.
5. Verify UI feedback, permissions, notifications and audit records where applicable.</t>
        </is>
      </c>
      <c r="K446" s="14" t="inlineStr">
        <is>
          <t xml:space="preserve">Exports, deleted records, retention windows and restored backup</t>
        </is>
      </c>
      <c r="L446" s="14" t="inlineStr">
        <is>
          <t xml:space="preserve">Immutable retention/deletion policy is applied predictably.</t>
        </is>
      </c>
      <c r="M446" s="14" t="inlineStr">
        <is>
          <t xml:space="preserve">Candidate</t>
        </is>
      </c>
      <c r="N446" s="14" t="inlineStr">
        <is>
          <t xml:space="preserve">Yes</t>
        </is>
      </c>
      <c r="O446" s="14" t="inlineStr">
        <is>
          <t xml:space="preserve">Active</t>
        </is>
      </c>
      <c r="P446" s="14"/>
    </row>
    <row r="447">
      <c r="A447" s="14" t="inlineStr">
        <is>
          <t xml:space="preserve">RR-0467</t>
        </is>
      </c>
      <c r="B447" s="14" t="inlineStr">
        <is>
          <t xml:space="preserve">Data Lifecycle &amp; Recovery</t>
        </is>
      </c>
      <c r="C447" s="14" t="inlineStr">
        <is>
          <t xml:space="preserve">Retention, deletion and export</t>
        </is>
      </c>
      <c r="D447" s="14" t="inlineStr">
        <is>
          <t xml:space="preserve">Security</t>
        </is>
      </c>
      <c r="E447" s="14" t="inlineStr">
        <is>
          <t xml:space="preserve">Expired invitation/reset/clock tokens</t>
        </is>
      </c>
      <c r="F447" s="14" t="inlineStr">
        <is>
          <t xml:space="preserve">High</t>
        </is>
      </c>
      <c r="G447" s="14" t="inlineStr">
        <is>
          <t xml:space="preserve">Medium</t>
        </is>
      </c>
      <c r="H447" s="14" t="inlineStr">
        <is>
          <t xml:space="preserve">Beta</t>
        </is>
      </c>
      <c r="I447" s="14" t="inlineStr">
        <is>
          <t xml:space="preserve">Test organisation with representative historical records and backup access.</t>
        </is>
      </c>
      <c r="J447" s="14" t="inlineStr">
        <is>
          <t xml:space="preserve">1. Prepare the stated preconditions and sign in with the required role.
2. Navigate to Retention, deletion and export.
3. Execute: Expired invitation/reset/clock tokens.
4. Refresh or reopen the relevant page and inspect persisted data.
5. Verify UI feedback, permissions, notifications and audit records where applicable.</t>
        </is>
      </c>
      <c r="K447" s="14" t="inlineStr">
        <is>
          <t xml:space="preserve">Exports, deleted records, retention windows and restored backup</t>
        </is>
      </c>
      <c r="L447" s="14" t="inlineStr">
        <is>
          <t xml:space="preserve">Expired tokens are unusable and cleaned up according to retention policy.</t>
        </is>
      </c>
      <c r="M447" s="14" t="inlineStr">
        <is>
          <t xml:space="preserve">Candidate</t>
        </is>
      </c>
      <c r="N447" s="14" t="inlineStr">
        <is>
          <t xml:space="preserve">Yes</t>
        </is>
      </c>
      <c r="O447" s="14" t="inlineStr">
        <is>
          <t xml:space="preserve">Active</t>
        </is>
      </c>
      <c r="P447" s="14"/>
    </row>
    <row r="448">
      <c r="A448" s="14" t="inlineStr">
        <is>
          <t xml:space="preserve">RR-0468</t>
        </is>
      </c>
      <c r="B448" s="14" t="inlineStr">
        <is>
          <t xml:space="preserve">Data Lifecycle &amp; Recovery</t>
        </is>
      </c>
      <c r="C448" s="14" t="inlineStr">
        <is>
          <t xml:space="preserve">Backup and restore</t>
        </is>
      </c>
      <c r="D448" s="14" t="inlineStr">
        <is>
          <t xml:space="preserve">Recovery</t>
        </is>
      </c>
      <c r="E448" s="14" t="inlineStr">
        <is>
          <t xml:space="preserve">Create scheduled database backup</t>
        </is>
      </c>
      <c r="F448" s="14" t="inlineStr">
        <is>
          <t xml:space="preserve">Critical</t>
        </is>
      </c>
      <c r="G448" s="14" t="inlineStr">
        <is>
          <t xml:space="preserve">Medium</t>
        </is>
      </c>
      <c r="H448" s="14" t="inlineStr">
        <is>
          <t xml:space="preserve">Beta</t>
        </is>
      </c>
      <c r="I448" s="14" t="inlineStr">
        <is>
          <t xml:space="preserve">Test organisation with representative historical records and backup access.</t>
        </is>
      </c>
      <c r="J448" s="14" t="inlineStr">
        <is>
          <t xml:space="preserve">1. Prepare the stated preconditions and sign in with the required role.
2. Navigate to Backup and restore.
3. Execute: Create scheduled database backup.
4. Refresh or reopen the relevant page and inspect persisted data.
5. Verify UI feedback, permissions, notifications and audit records where applicable.</t>
        </is>
      </c>
      <c r="K448" s="14" t="inlineStr">
        <is>
          <t xml:space="preserve">Exports, deleted records, retention windows and restored backup</t>
        </is>
      </c>
      <c r="L448" s="14" t="inlineStr">
        <is>
          <t xml:space="preserve">Backup completes, is encrypted and has verifiable timestamp/retention.</t>
        </is>
      </c>
      <c r="M448" s="14" t="inlineStr">
        <is>
          <t xml:space="preserve">Candidate</t>
        </is>
      </c>
      <c r="N448" s="14" t="inlineStr">
        <is>
          <t xml:space="preserve">Yes</t>
        </is>
      </c>
      <c r="O448" s="14" t="inlineStr">
        <is>
          <t xml:space="preserve">Active</t>
        </is>
      </c>
      <c r="P448" s="14"/>
    </row>
    <row r="449">
      <c r="A449" s="14" t="inlineStr">
        <is>
          <t xml:space="preserve">RR-0469</t>
        </is>
      </c>
      <c r="B449" s="14" t="inlineStr">
        <is>
          <t xml:space="preserve">Data Lifecycle &amp; Recovery</t>
        </is>
      </c>
      <c r="C449" s="14" t="inlineStr">
        <is>
          <t xml:space="preserve">Backup and restore</t>
        </is>
      </c>
      <c r="D449" s="14" t="inlineStr">
        <is>
          <t xml:space="preserve">Recovery</t>
        </is>
      </c>
      <c r="E449" s="14" t="inlineStr">
        <is>
          <t xml:space="preserve">Restore backup into isolated environment</t>
        </is>
      </c>
      <c r="F449" s="14" t="inlineStr">
        <is>
          <t xml:space="preserve">Critical</t>
        </is>
      </c>
      <c r="G449" s="14" t="inlineStr">
        <is>
          <t xml:space="preserve">Medium</t>
        </is>
      </c>
      <c r="H449" s="14" t="inlineStr">
        <is>
          <t xml:space="preserve">Beta</t>
        </is>
      </c>
      <c r="I449" s="14" t="inlineStr">
        <is>
          <t xml:space="preserve">Test organisation with representative historical records and backup access.</t>
        </is>
      </c>
      <c r="J449" s="14" t="inlineStr">
        <is>
          <t xml:space="preserve">1. Prepare the stated preconditions and sign in with the required role.
2. Navigate to Backup and restore.
3. Execute: Restore backup into isolated environment.
4. Refresh or reopen the relevant page and inspect persisted data.
5. Verify UI feedback, permissions, notifications and audit records where applicable.</t>
        </is>
      </c>
      <c r="K449" s="14" t="inlineStr">
        <is>
          <t xml:space="preserve">Exports, deleted records, retention windows and restored backup</t>
        </is>
      </c>
      <c r="L449" s="14" t="inlineStr">
        <is>
          <t xml:space="preserve">Organisation, rota, attendance and billing reference data reconcile.</t>
        </is>
      </c>
      <c r="M449" s="14" t="inlineStr">
        <is>
          <t xml:space="preserve">Candidate</t>
        </is>
      </c>
      <c r="N449" s="14" t="inlineStr">
        <is>
          <t xml:space="preserve">Yes</t>
        </is>
      </c>
      <c r="O449" s="14" t="inlineStr">
        <is>
          <t xml:space="preserve">Active</t>
        </is>
      </c>
      <c r="P449" s="14"/>
    </row>
    <row r="450">
      <c r="A450" s="14" t="inlineStr">
        <is>
          <t xml:space="preserve">RR-0470</t>
        </is>
      </c>
      <c r="B450" s="14" t="inlineStr">
        <is>
          <t xml:space="preserve">Data Lifecycle &amp; Recovery</t>
        </is>
      </c>
      <c r="C450" s="14" t="inlineStr">
        <is>
          <t xml:space="preserve">Backup and restore</t>
        </is>
      </c>
      <c r="D450" s="14" t="inlineStr">
        <is>
          <t xml:space="preserve">Recovery</t>
        </is>
      </c>
      <c r="E450" s="14" t="inlineStr">
        <is>
          <t xml:space="preserve">Perform point-in-time recovery test</t>
        </is>
      </c>
      <c r="F450" s="14" t="inlineStr">
        <is>
          <t xml:space="preserve">Critical</t>
        </is>
      </c>
      <c r="G450" s="14" t="inlineStr">
        <is>
          <t xml:space="preserve">Medium</t>
        </is>
      </c>
      <c r="H450" s="14" t="inlineStr">
        <is>
          <t xml:space="preserve">Beta</t>
        </is>
      </c>
      <c r="I450" s="14" t="inlineStr">
        <is>
          <t xml:space="preserve">Test organisation with representative historical records and backup access.</t>
        </is>
      </c>
      <c r="J450" s="14" t="inlineStr">
        <is>
          <t xml:space="preserve">1. Prepare the stated preconditions and sign in with the required role.
2. Navigate to Backup and restore.
3. Execute: Perform point-in-time recovery test.
4. Refresh or reopen the relevant page and inspect persisted data.
5. Verify UI feedback, permissions, notifications and audit records where applicable.</t>
        </is>
      </c>
      <c r="K450" s="14" t="inlineStr">
        <is>
          <t xml:space="preserve">Exports, deleted records, retention windows and restored backup</t>
        </is>
      </c>
      <c r="L450" s="14" t="inlineStr">
        <is>
          <t xml:space="preserve">Recovery meets defined RPO/RTO and no tenant is omitted.</t>
        </is>
      </c>
      <c r="M450" s="14" t="inlineStr">
        <is>
          <t xml:space="preserve">Candidate</t>
        </is>
      </c>
      <c r="N450" s="14" t="inlineStr">
        <is>
          <t xml:space="preserve">Yes</t>
        </is>
      </c>
      <c r="O450" s="14" t="inlineStr">
        <is>
          <t xml:space="preserve">Active</t>
        </is>
      </c>
      <c r="P450" s="14"/>
    </row>
    <row r="451">
      <c r="A451" s="14" t="inlineStr">
        <is>
          <t xml:space="preserve">RR-0471</t>
        </is>
      </c>
      <c r="B451" s="14" t="inlineStr">
        <is>
          <t xml:space="preserve">Data Lifecycle &amp; Recovery</t>
        </is>
      </c>
      <c r="C451" s="14" t="inlineStr">
        <is>
          <t xml:space="preserve">Backup and restore</t>
        </is>
      </c>
      <c r="D451" s="14" t="inlineStr">
        <is>
          <t xml:space="preserve">Recovery</t>
        </is>
      </c>
      <c r="E451" s="14" t="inlineStr">
        <is>
          <t xml:space="preserve">Restore after accidental rota deletion</t>
        </is>
      </c>
      <c r="F451" s="14" t="inlineStr">
        <is>
          <t xml:space="preserve">High</t>
        </is>
      </c>
      <c r="G451" s="14" t="inlineStr">
        <is>
          <t xml:space="preserve">Medium</t>
        </is>
      </c>
      <c r="H451" s="14" t="inlineStr">
        <is>
          <t xml:space="preserve">Beta</t>
        </is>
      </c>
      <c r="I451" s="14" t="inlineStr">
        <is>
          <t xml:space="preserve">Test organisation with representative historical records and backup access.</t>
        </is>
      </c>
      <c r="J451" s="14" t="inlineStr">
        <is>
          <t xml:space="preserve">1. Prepare the stated preconditions and sign in with the required role.
2. Navigate to Backup and restore.
3. Execute: Restore after accidental rota deletion.
4. Refresh or reopen the relevant page and inspect persisted data.
5. Verify UI feedback, permissions, notifications and audit records where applicable.</t>
        </is>
      </c>
      <c r="K451" s="14" t="inlineStr">
        <is>
          <t xml:space="preserve">Exports, deleted records, retention windows and restored backup</t>
        </is>
      </c>
      <c r="L451" s="14" t="inlineStr">
        <is>
          <t xml:space="preserve">Recovery procedure is documented and does not overwrite unrelated newer data without approval.</t>
        </is>
      </c>
      <c r="M451" s="14" t="inlineStr">
        <is>
          <t xml:space="preserve">Candidate</t>
        </is>
      </c>
      <c r="N451" s="14" t="inlineStr">
        <is>
          <t xml:space="preserve">Yes</t>
        </is>
      </c>
      <c r="O451" s="14" t="inlineStr">
        <is>
          <t xml:space="preserve">Active</t>
        </is>
      </c>
      <c r="P451" s="14"/>
    </row>
    <row r="452">
      <c r="A452" s="14" t="inlineStr">
        <is>
          <t xml:space="preserve">RR-0472</t>
        </is>
      </c>
      <c r="B452" s="14" t="inlineStr">
        <is>
          <t xml:space="preserve">Data Lifecycle &amp; Recovery</t>
        </is>
      </c>
      <c r="C452" s="14" t="inlineStr">
        <is>
          <t xml:space="preserve">Backup and restore</t>
        </is>
      </c>
      <c r="D452" s="14" t="inlineStr">
        <is>
          <t xml:space="preserve">Security</t>
        </is>
      </c>
      <c r="E452" s="14" t="inlineStr">
        <is>
          <t xml:space="preserve">Backup contains secrets or payment data</t>
        </is>
      </c>
      <c r="F452" s="14" t="inlineStr">
        <is>
          <t xml:space="preserve">Critical</t>
        </is>
      </c>
      <c r="G452" s="14" t="inlineStr">
        <is>
          <t xml:space="preserve">Medium</t>
        </is>
      </c>
      <c r="H452" s="14" t="inlineStr">
        <is>
          <t xml:space="preserve">Beta</t>
        </is>
      </c>
      <c r="I452" s="14" t="inlineStr">
        <is>
          <t xml:space="preserve">Test organisation with representative historical records and backup access.</t>
        </is>
      </c>
      <c r="J452" s="14" t="inlineStr">
        <is>
          <t xml:space="preserve">1. Prepare the stated preconditions and sign in with the required role.
2. Navigate to Backup and restore.
3. Execute: Backup contains secrets or payment data.
4. Refresh or reopen the relevant page and inspect persisted data.
5. Verify UI feedback, permissions, notifications and audit records where applicable.</t>
        </is>
      </c>
      <c r="K452" s="14" t="inlineStr">
        <is>
          <t xml:space="preserve">Exports, deleted records, retention windows and restored backup</t>
        </is>
      </c>
      <c r="L452" s="14" t="inlineStr">
        <is>
          <t xml:space="preserve">Backup access/encryption and minimisation meet policy.</t>
        </is>
      </c>
      <c r="M452" s="14" t="inlineStr">
        <is>
          <t xml:space="preserve">Candidate</t>
        </is>
      </c>
      <c r="N452" s="14" t="inlineStr">
        <is>
          <t xml:space="preserve">Yes</t>
        </is>
      </c>
      <c r="O452" s="14" t="inlineStr">
        <is>
          <t xml:space="preserve">Active</t>
        </is>
      </c>
      <c r="P452" s="14"/>
    </row>
    <row r="453">
      <c r="A453" s="14" t="inlineStr">
        <is>
          <t xml:space="preserve">RR-0473</t>
        </is>
      </c>
      <c r="B453" s="14" t="inlineStr">
        <is>
          <t xml:space="preserve">Data Lifecycle &amp; Recovery</t>
        </is>
      </c>
      <c r="C453" s="14" t="inlineStr">
        <is>
          <t xml:space="preserve">Backup and restore</t>
        </is>
      </c>
      <c r="D453" s="14" t="inlineStr">
        <is>
          <t xml:space="preserve">Recovery</t>
        </is>
      </c>
      <c r="E453" s="14" t="inlineStr">
        <is>
          <t xml:space="preserve">Attachment/export storage is restored</t>
        </is>
      </c>
      <c r="F453" s="14" t="inlineStr">
        <is>
          <t xml:space="preserve">High</t>
        </is>
      </c>
      <c r="G453" s="14" t="inlineStr">
        <is>
          <t xml:space="preserve">Medium</t>
        </is>
      </c>
      <c r="H453" s="14" t="inlineStr">
        <is>
          <t xml:space="preserve">Beta</t>
        </is>
      </c>
      <c r="I453" s="14" t="inlineStr">
        <is>
          <t xml:space="preserve">Test organisation with representative historical records and backup access.</t>
        </is>
      </c>
      <c r="J453" s="14" t="inlineStr">
        <is>
          <t xml:space="preserve">1. Prepare the stated preconditions and sign in with the required role.
2. Navigate to Backup and restore.
3. Execute: Attachment/export storage is restored.
4. Refresh or reopen the relevant page and inspect persisted data.
5. Verify UI feedback, permissions, notifications and audit records where applicable.</t>
        </is>
      </c>
      <c r="K453" s="14" t="inlineStr">
        <is>
          <t xml:space="preserve">Exports, deleted records, retention windows and restored backup</t>
        </is>
      </c>
      <c r="L453" s="14" t="inlineStr">
        <is>
          <t xml:space="preserve">Files remain linked to authorised records and signed access still works.</t>
        </is>
      </c>
      <c r="M453" s="14" t="inlineStr">
        <is>
          <t xml:space="preserve">Candidate</t>
        </is>
      </c>
      <c r="N453" s="14" t="inlineStr">
        <is>
          <t xml:space="preserve">Yes</t>
        </is>
      </c>
      <c r="O453" s="14" t="inlineStr">
        <is>
          <t xml:space="preserve">Active</t>
        </is>
      </c>
      <c r="P453" s="14"/>
    </row>
    <row r="454" ht="180" customHeight="1">
      <c r="A454" s="14" t="inlineStr">
        <is>
          <t xml:space="preserve">RR-0474</t>
        </is>
      </c>
      <c r="B454" s="14" t="inlineStr">
        <is>
          <t xml:space="preserve">PWA, Push &amp; Offline</t>
        </is>
      </c>
      <c r="C454" s="14" t="inlineStr">
        <is>
          <t xml:space="preserve">Android cold launch</t>
        </is>
      </c>
      <c r="D454" s="14" t="inlineStr">
        <is>
          <t xml:space="preserve">Performance</t>
        </is>
      </c>
      <c r="E454" s="14" t="inlineStr">
        <is>
          <t xml:space="preserve">Open installed PWA after removing it from recent apps</t>
        </is>
      </c>
      <c r="F454" s="14" t="inlineStr">
        <is>
          <t xml:space="preserve">High</t>
        </is>
      </c>
      <c r="G454" s="14" t="inlineStr">
        <is>
          <t xml:space="preserve">Medium</t>
        </is>
      </c>
      <c r="H454" s="14" t="inlineStr">
        <is>
          <t xml:space="preserve">Beta</t>
        </is>
      </c>
      <c r="I454" s="14" t="inlineStr">
        <is>
          <t xml:space="preserve">OnePlus Nord 4; installed PWA; valid manager session; release build; Wi-Fi.</t>
        </is>
      </c>
      <c r="J454" s="14" t="inlineStr">
        <is>
          <t xml:space="preserve">Remove the app from recent apps. Start screen recording. Tap the home-screen icon and stop timing when dashboard data and actions are usable. Repeat five times without clearing site data. Record every result, median, slowest run, build, OS, Chrome version and network.</t>
        </is>
      </c>
      <c r="K454" s="14" t="inlineStr">
        <is>
          <t xml:space="preserve">OnePlus Nord 4; five cold launches</t>
        </is>
      </c>
      <c r="L454" s="14" t="inlineStr">
        <is>
          <t xml:space="preserve">Correct signed-in dashboard opens without a blank or repeated loading screen. Compare with the recorded four-second symptom and the previous release under the same conditions. Record the agreed launch budget before assigning pass/fail.</t>
        </is>
      </c>
      <c r="M454" s="14" t="inlineStr">
        <is>
          <t xml:space="preserve">Manual</t>
        </is>
      </c>
      <c r="N454" s="14" t="inlineStr">
        <is>
          <t xml:space="preserve">Yes</t>
        </is>
      </c>
      <c r="O454" s="14" t="inlineStr">
        <is>
          <t xml:space="preserve">Active</t>
        </is>
      </c>
      <c r="P454" s="14" t="inlineStr">
        <is>
          <t xml:space="preserve">Added 25 October 2026. Record results after testing the deployed release.</t>
        </is>
      </c>
    </row>
    <row r="455" ht="180" customHeight="1">
      <c r="A455" s="14" t="inlineStr">
        <is>
          <t xml:space="preserve">RR-0475</t>
        </is>
      </c>
      <c r="B455" s="14" t="inlineStr">
        <is>
          <t xml:space="preserve">PWA, Push &amp; Offline</t>
        </is>
      </c>
      <c r="C455" s="14" t="inlineStr">
        <is>
          <t xml:space="preserve">Android idle resume</t>
        </is>
      </c>
      <c r="D455" s="14" t="inlineStr">
        <is>
          <t xml:space="preserve">Performance</t>
        </is>
      </c>
      <c r="E455" s="14" t="inlineStr">
        <is>
          <t xml:space="preserve">Open PWA after Android has discarded the background process</t>
        </is>
      </c>
      <c r="F455" s="14" t="inlineStr">
        <is>
          <t xml:space="preserve">High</t>
        </is>
      </c>
      <c r="G455" s="14" t="inlineStr">
        <is>
          <t xml:space="preserve">Medium</t>
        </is>
      </c>
      <c r="H455" s="14" t="inlineStr">
        <is>
          <t xml:space="preserve">Beta</t>
        </is>
      </c>
      <c r="I455" s="14" t="inlineStr">
        <is>
          <t xml:space="preserve">OnePlus Nord 4; installed PWA; valid session; app unused long enough for Android to discard it.</t>
        </is>
      </c>
      <c r="J455" s="14" t="inlineStr">
        <is>
          <t xml:space="preserve">Record idle duration and battery settings. Open the PWA and time until dashboard data and actions are usable. Repeat after a normal short background interval and record both sets of results.</t>
        </is>
      </c>
      <c r="K455" s="14" t="inlineStr">
        <is>
          <t xml:space="preserve">Long idle and short background resume</t>
        </is>
      </c>
      <c r="L455" s="14" t="inlineStr">
        <is>
          <t xml:space="preserve">Session restores correctly and the page becomes usable without duplicate redirects or stale staff data. Compare timings with the same device and previous release using a documented budget.</t>
        </is>
      </c>
      <c r="M455" s="14" t="inlineStr">
        <is>
          <t xml:space="preserve">Manual</t>
        </is>
      </c>
      <c r="N455" s="14" t="inlineStr">
        <is>
          <t xml:space="preserve">Yes</t>
        </is>
      </c>
      <c r="O455" s="14" t="inlineStr">
        <is>
          <t xml:space="preserve">Active</t>
        </is>
      </c>
      <c r="P455" s="14" t="inlineStr">
        <is>
          <t xml:space="preserve">Added 25 October 2026. Record results after testing the deployed release.</t>
        </is>
      </c>
    </row>
    <row r="456" ht="180" customHeight="1">
      <c r="A456" s="14" t="inlineStr">
        <is>
          <t xml:space="preserve">RR-0476</t>
        </is>
      </c>
      <c r="B456" s="14" t="inlineStr">
        <is>
          <t xml:space="preserve">Performance &amp; Reliability</t>
        </is>
      </c>
      <c r="C456" s="14" t="inlineStr">
        <is>
          <t xml:space="preserve">Authenticated page navigation</t>
        </is>
      </c>
      <c r="D456" s="14" t="inlineStr">
        <is>
          <t xml:space="preserve">Performance</t>
        </is>
      </c>
      <c r="E456" s="14" t="inlineStr">
        <is>
          <t xml:space="preserve">Compare first and repeat navigation through core app pages</t>
        </is>
      </c>
      <c r="F456" s="14" t="inlineStr">
        <is>
          <t xml:space="preserve">High</t>
        </is>
      </c>
      <c r="G456" s="14" t="inlineStr">
        <is>
          <t xml:space="preserve">Medium</t>
        </is>
      </c>
      <c r="H456" s="14" t="inlineStr">
        <is>
          <t xml:space="preserve">Beta</t>
        </is>
      </c>
      <c r="I456" s="14" t="inlineStr">
        <is>
          <t xml:space="preserve">Release build; manager account with representative rotas and attendance; OnePlus Nord 4.</t>
        </is>
      </c>
      <c r="J456" s="14" t="inlineStr">
        <is>
          <t xml:space="preserve">Navigate Dashboard &gt; Open rotas &gt; a populated rota &gt; Time tracking &gt; Timesheets &gt; Dashboard. Time each page until its main content is usable. Repeat the sequence five times on Wi-Fi and mobile data. Record first visits separately from repeats.</t>
        </is>
      </c>
      <c r="K456" s="14" t="inlineStr">
        <is>
          <t xml:space="preserve">Normal 40-employee location; same account and dataset for comparison</t>
        </is>
      </c>
      <c r="L456" s="14" t="inlineStr">
        <is>
          <t xml:space="preserve">Correct content appears on every route without a full app restart or persistent loading state. First and repeat timings meet the documented per-page budgets with no regression against the previous build.</t>
        </is>
      </c>
      <c r="M456" s="14" t="inlineStr">
        <is>
          <t xml:space="preserve">Manual</t>
        </is>
      </c>
      <c r="N456" s="14" t="inlineStr">
        <is>
          <t xml:space="preserve">Yes</t>
        </is>
      </c>
      <c r="O456" s="14" t="inlineStr">
        <is>
          <t xml:space="preserve">Active</t>
        </is>
      </c>
      <c r="P456" s="14" t="inlineStr">
        <is>
          <t xml:space="preserve">Added 25 October 2026. Record results after testing the deployed release.</t>
        </is>
      </c>
    </row>
    <row r="457" ht="180" customHeight="1">
      <c r="A457" s="14" t="inlineStr">
        <is>
          <t xml:space="preserve">RR-0477</t>
        </is>
      </c>
      <c r="B457" s="14" t="inlineStr">
        <is>
          <t xml:space="preserve">Performance &amp; Reliability</t>
        </is>
      </c>
      <c r="C457" s="14" t="inlineStr">
        <is>
          <t xml:space="preserve">Dashboard hydration</t>
        </is>
      </c>
      <c r="D457" s="14" t="inlineStr">
        <is>
          <t xml:space="preserve">Regression</t>
        </is>
      </c>
      <c r="E457" s="14" t="inlineStr">
        <is>
          <t xml:space="preserve">Direct dashboard load hydrates without replacing server-rendered content</t>
        </is>
      </c>
      <c r="F457" s="14" t="inlineStr">
        <is>
          <t xml:space="preserve">High</t>
        </is>
      </c>
      <c r="G457" s="14" t="inlineStr">
        <is>
          <t xml:space="preserve">Medium</t>
        </is>
      </c>
      <c r="H457" s="14" t="inlineStr">
        <is>
          <t xml:space="preserve">Beta</t>
        </is>
      </c>
      <c r="I457" s="14" t="inlineStr">
        <is>
          <t xml:space="preserve">Production release build; manager session; browser console and network panel open.</t>
        </is>
      </c>
      <c r="J457" s="14" t="inlineStr">
        <is>
          <t xml:space="preserve">Open /app/&lt;workspaceSlug&gt;/dashboard directly, refresh five times, then navigate away and back. Watch the initial content, console and network requests.</t>
        </is>
      </c>
      <c r="K457" s="14" t="inlineStr">
        <is>
          <t xml:space="preserve">Attendance enabled; populated dashboard</t>
        </is>
      </c>
      <c r="L457" s="14" t="inlineStr">
        <is>
          <t xml:space="preserve">No React hydration mismatch, client remount flash, duplicate team list, or repeated initial dashboard data load occurs. Dashboard controls work after hydration.</t>
        </is>
      </c>
      <c r="M457" s="14" t="inlineStr">
        <is>
          <t xml:space="preserve">Candidate</t>
        </is>
      </c>
      <c r="N457" s="14" t="inlineStr">
        <is>
          <t xml:space="preserve">Yes</t>
        </is>
      </c>
      <c r="O457" s="14" t="inlineStr">
        <is>
          <t xml:space="preserve">Active</t>
        </is>
      </c>
      <c r="P457" s="14" t="inlineStr">
        <is>
          <t xml:space="preserve">Added 25 October 2026. Record results after testing the deployed release.</t>
        </is>
      </c>
    </row>
    <row r="458" ht="180" customHeight="1">
      <c r="A458" s="14" t="inlineStr">
        <is>
          <t xml:space="preserve">RR-0478</t>
        </is>
      </c>
      <c r="B458" s="14" t="inlineStr">
        <is>
          <t xml:space="preserve">PWA, Push &amp; Offline</t>
        </is>
      </c>
      <c r="C458" s="14" t="inlineStr">
        <is>
          <t xml:space="preserve">Navigation preload</t>
        </is>
      </c>
      <c r="D458" s="14" t="inlineStr">
        <is>
          <t xml:space="preserve">Integration</t>
        </is>
      </c>
      <c r="E458" s="14" t="inlineStr">
        <is>
          <t xml:space="preserve">Cold navigation reuses the service-worker preload response</t>
        </is>
      </c>
      <c r="F458" s="14" t="inlineStr">
        <is>
          <t xml:space="preserve">High</t>
        </is>
      </c>
      <c r="G458" s="14" t="inlineStr">
        <is>
          <t xml:space="preserve">Medium</t>
        </is>
      </c>
      <c r="H458" s="14" t="inlineStr">
        <is>
          <t xml:space="preserve">Beta</t>
        </is>
      </c>
      <c r="I458" s="14" t="inlineStr">
        <is>
          <t xml:space="preserve">Release build; active service worker; browser supports navigation preload; request recording available.</t>
        </is>
      </c>
      <c r="J458" s="14" t="inlineStr">
        <is>
          <t xml:space="preserve">Close the PWA, reopen a protected route and capture its document requests. Verify navigation preload is enabled and the page renders from that response. Repeat after a service-worker update.</t>
        </is>
      </c>
      <c r="K458" s="14" t="inlineStr">
        <is>
          <t xml:space="preserve">Supported Android Chrome; signed-in manager</t>
        </is>
      </c>
      <c r="L458" s="14" t="inlineStr">
        <is>
          <t xml:space="preserve">One navigation supplies the document without a second service-worker fetch for the same navigation. Authentication and redirects remain correct.</t>
        </is>
      </c>
      <c r="M458" s="14" t="inlineStr">
        <is>
          <t xml:space="preserve">Candidate</t>
        </is>
      </c>
      <c r="N458" s="14" t="inlineStr">
        <is>
          <t xml:space="preserve">No</t>
        </is>
      </c>
      <c r="O458" s="14" t="inlineStr">
        <is>
          <t xml:space="preserve">Active</t>
        </is>
      </c>
      <c r="P458" s="14" t="inlineStr">
        <is>
          <t xml:space="preserve">Added 25 October 2026. Record results after testing the deployed release.</t>
        </is>
      </c>
    </row>
    <row r="459" ht="180" customHeight="1">
      <c r="A459" s="14" t="inlineStr">
        <is>
          <t xml:space="preserve">RR-0479</t>
        </is>
      </c>
      <c r="B459" s="14" t="inlineStr">
        <is>
          <t xml:space="preserve">PWA, Push &amp; Offline</t>
        </is>
      </c>
      <c r="C459" s="14" t="inlineStr">
        <is>
          <t xml:space="preserve">Navigation preload fallback</t>
        </is>
      </c>
      <c r="D459" s="14" t="inlineStr">
        <is>
          <t xml:space="preserve">Recovery</t>
        </is>
      </c>
      <c r="E459" s="14" t="inlineStr">
        <is>
          <t xml:space="preserve">Navigation works when preload is absent or fails</t>
        </is>
      </c>
      <c r="F459" s="14" t="inlineStr">
        <is>
          <t xml:space="preserve">High</t>
        </is>
      </c>
      <c r="G459" s="14" t="inlineStr">
        <is>
          <t xml:space="preserve">Medium</t>
        </is>
      </c>
      <c r="H459" s="14" t="inlineStr">
        <is>
          <t xml:space="preserve">Beta</t>
        </is>
      </c>
      <c r="I459" s="14" t="inlineStr">
        <is>
          <t xml:space="preserve">Isolated browser test with preload unsupported or rejected; installed service worker.</t>
        </is>
      </c>
      <c r="J459" s="14" t="inlineStr">
        <is>
          <t xml:space="preserve">Run a navigation with preload unavailable, then with its promise rejected. Repeat while offline and reconnect afterwards.</t>
        </is>
      </c>
      <c r="K459" s="14" t="inlineStr">
        <is>
          <t xml:space="preserve">Online and offline variants</t>
        </is>
      </c>
      <c r="L459" s="14" t="inlineStr">
        <is>
          <t xml:space="preserve">Online navigation falls back to the normal fetch. Failed offline navigation shows the offline page. Reconnection restores access without a blank app or cached private HTML.</t>
        </is>
      </c>
      <c r="M459" s="14" t="inlineStr">
        <is>
          <t xml:space="preserve">Candidate</t>
        </is>
      </c>
      <c r="N459" s="14" t="inlineStr">
        <is>
          <t xml:space="preserve">Yes</t>
        </is>
      </c>
      <c r="O459" s="14" t="inlineStr">
        <is>
          <t xml:space="preserve">Active</t>
        </is>
      </c>
      <c r="P459" s="14" t="inlineStr">
        <is>
          <t xml:space="preserve">Added 25 October 2026. Record results after testing the deployed release.</t>
        </is>
      </c>
    </row>
    <row r="460" ht="180" customHeight="1">
      <c r="A460" s="14" t="inlineStr">
        <is>
          <t xml:space="preserve">RR-0480</t>
        </is>
      </c>
      <c r="B460" s="14" t="inlineStr">
        <is>
          <t xml:space="preserve">Manager Dashboard</t>
        </is>
      </c>
      <c r="C460" s="14" t="inlineStr">
        <is>
          <t xml:space="preserve">Mobile action toolbar</t>
        </is>
      </c>
      <c r="D460" s="14" t="inlineStr">
        <is>
          <t xml:space="preserve">Compatibility</t>
        </is>
      </c>
      <c r="E460" s="14" t="inlineStr">
        <is>
          <t xml:space="preserve">Keep all manager actions on one row at narrow mobile widths</t>
        </is>
      </c>
      <c r="F460" s="14" t="inlineStr">
        <is>
          <t xml:space="preserve">High</t>
        </is>
      </c>
      <c r="G460" s="14" t="inlineStr">
        <is>
          <t xml:space="preserve">Medium</t>
        </is>
      </c>
      <c r="H460" s="14" t="inlineStr">
        <is>
          <t xml:space="preserve">Beta</t>
        </is>
      </c>
      <c r="I460" s="14" t="inlineStr">
        <is>
          <t xml:space="preserve">Manager with rota creation permission; attendance enabled; latest layout change deployed.</t>
        </is>
      </c>
      <c r="J460" s="14" t="inlineStr">
        <is>
          <t xml:space="preserve">At 320, 348, 360 and 390 CSS pixels, open the manager dashboard. Check Create rota, Open rotas, Time tracking and refresh are on one row. Activate each, return, and check 768 and 1440 pixels.</t>
        </is>
      </c>
      <c r="K460" s="14" t="inlineStr">
        <is>
          <t xml:space="preserve">Narrow viewports and OnePlus Nord 4</t>
        </is>
      </c>
      <c r="L460" s="14" t="inlineStr">
        <is>
          <t xml:space="preserve">All four actions are visible on one row without clipping, overlap or horizontal page scrolling at normal text size. Labels and focus indicators are readable and each action works. Desktop sizing remains correct.</t>
        </is>
      </c>
      <c r="M460" s="14" t="inlineStr">
        <is>
          <t xml:space="preserve">Manual</t>
        </is>
      </c>
      <c r="N460" s="14" t="inlineStr">
        <is>
          <t xml:space="preserve">Yes</t>
        </is>
      </c>
      <c r="O460" s="14" t="inlineStr">
        <is>
          <t xml:space="preserve">Active</t>
        </is>
      </c>
      <c r="P460" s="14" t="inlineStr">
        <is>
          <t xml:space="preserve">Added 25 October 2026. Record results after testing the deployed release.</t>
        </is>
      </c>
    </row>
    <row r="461" ht="180" customHeight="1">
      <c r="A461" s="14" t="inlineStr">
        <is>
          <t xml:space="preserve">RR-0481</t>
        </is>
      </c>
      <c r="B461" s="14" t="inlineStr">
        <is>
          <t xml:space="preserve">Manager Dashboard</t>
        </is>
      </c>
      <c r="C461" s="14" t="inlineStr">
        <is>
          <t xml:space="preserve">Team filters</t>
        </is>
      </c>
      <c r="D461" s="14" t="inlineStr">
        <is>
          <t xml:space="preserve">Compatibility</t>
        </is>
      </c>
      <c r="E461" s="14" t="inlineStr">
        <is>
          <t xml:space="preserve">Keep zone and status filters beside each other on narrow screens</t>
        </is>
      </c>
      <c r="F461" s="14" t="inlineStr">
        <is>
          <t xml:space="preserve">High</t>
        </is>
      </c>
      <c r="G461" s="14" t="inlineStr">
        <is>
          <t xml:space="preserve">Medium</t>
        </is>
      </c>
      <c r="H461" s="14" t="inlineStr">
        <is>
          <t xml:space="preserve">Beta</t>
        </is>
      </c>
      <c r="I461" s="14" t="inlineStr">
        <is>
          <t xml:space="preserve">Attendance enabled; employees across at least two zones and statuses; latest layout change deployed.</t>
        </is>
      </c>
      <c r="J461" s="14" t="inlineStr">
        <is>
          <t xml:space="preserve">At 320, 348, 360 and 390 CSS pixels, inspect Today's team. Enter a name, choose a zone and status, then clear each filter. Repeat with long zone names and with attendance disabled.</t>
        </is>
      </c>
      <c r="K461" s="14" t="inlineStr">
        <is>
          <t xml:space="preserve">All zones; All statuses; long zone label</t>
        </is>
      </c>
      <c r="L461" s="14" t="inlineStr">
        <is>
          <t xml:space="preserve">Search has a readable full row. Zone and status share the next row without overflow and their combined filters return the correct employees. With attendance disabled the zone filter remains usable across the available width.</t>
        </is>
      </c>
      <c r="M461" s="14" t="inlineStr">
        <is>
          <t xml:space="preserve">Manual</t>
        </is>
      </c>
      <c r="N461" s="14" t="inlineStr">
        <is>
          <t xml:space="preserve">Yes</t>
        </is>
      </c>
      <c r="O461" s="14" t="inlineStr">
        <is>
          <t xml:space="preserve">Active</t>
        </is>
      </c>
      <c r="P461" s="14" t="inlineStr">
        <is>
          <t xml:space="preserve">Added 25 October 2026. Record results after testing the deployed release.</t>
        </is>
      </c>
    </row>
    <row r="462" ht="180" customHeight="1">
      <c r="A462" s="14" t="inlineStr">
        <is>
          <t xml:space="preserve">RR-0482</t>
        </is>
      </c>
      <c r="B462" s="14" t="inlineStr">
        <is>
          <t xml:space="preserve">Manager Dashboard</t>
        </is>
      </c>
      <c r="C462" s="14" t="inlineStr">
        <is>
          <t xml:space="preserve">Staffing refresh</t>
        </is>
      </c>
      <c r="D462" s="14" t="inlineStr">
        <is>
          <t xml:space="preserve">Regression</t>
        </is>
      </c>
      <c r="E462" s="14" t="inlineStr">
        <is>
          <t xml:space="preserve">Refresh and resume update attendance without stale team rows</t>
        </is>
      </c>
      <c r="F462" s="14" t="inlineStr">
        <is>
          <t xml:space="preserve">High</t>
        </is>
      </c>
      <c r="G462" s="14" t="inlineStr">
        <is>
          <t xml:space="preserve">Medium</t>
        </is>
      </c>
      <c r="H462" s="14" t="inlineStr">
        <is>
          <t xml:space="preserve">Beta</t>
        </is>
      </c>
      <c r="I462" s="14" t="inlineStr">
        <is>
          <t xml:space="preserve">Manager dashboard open; second test account can clock in and out in staging.</t>
        </is>
      </c>
      <c r="J462" s="14" t="inlineStr">
        <is>
          <t xml:space="preserve">Record current counts and team state. Clock the employee in from the second device. Refresh the dashboard, background and reopen it, then repeat after clock-out. Change location and date between checks.</t>
        </is>
      </c>
      <c r="K462" s="14" t="inlineStr">
        <is>
          <t xml:space="preserve">Scheduled and unscheduled employee; two locations</t>
        </is>
      </c>
      <c r="L462" s="14" t="inlineStr">
        <is>
          <t xml:space="preserve">Working and attention counts, team statuses and update time reflect the selected location and day. No duplicate employee rows or data from the previous location remain.</t>
        </is>
      </c>
      <c r="M462" s="14" t="inlineStr">
        <is>
          <t xml:space="preserve">Candidate</t>
        </is>
      </c>
      <c r="N462" s="14" t="inlineStr">
        <is>
          <t xml:space="preserve">Yes</t>
        </is>
      </c>
      <c r="O462" s="14" t="inlineStr">
        <is>
          <t xml:space="preserve">Active</t>
        </is>
      </c>
      <c r="P462" s="14" t="inlineStr">
        <is>
          <t xml:space="preserve">Added 25 October 2026. Record results after testing the deployed release.</t>
        </is>
      </c>
    </row>
    <row r="463" ht="180" customHeight="1">
      <c r="A463" s="14" t="inlineStr">
        <is>
          <t xml:space="preserve">RR-0483</t>
        </is>
      </c>
      <c r="B463" s="14" t="inlineStr">
        <is>
          <t xml:space="preserve">Manager Dashboard</t>
        </is>
      </c>
      <c r="C463" s="14" t="inlineStr">
        <is>
          <t xml:space="preserve">Attention panel recovery</t>
        </is>
      </c>
      <c r="D463" s="14" t="inlineStr">
        <is>
          <t xml:space="preserve">Recovery</t>
        </is>
      </c>
      <c r="E463" s="14" t="inlineStr">
        <is>
          <t xml:space="preserve">Attention request failure does not block the main dashboard</t>
        </is>
      </c>
      <c r="F463" s="14" t="inlineStr">
        <is>
          <t xml:space="preserve">High</t>
        </is>
      </c>
      <c r="G463" s="14" t="inlineStr">
        <is>
          <t xml:space="preserve">Medium</t>
        </is>
      </c>
      <c r="H463" s="14" t="inlineStr">
        <is>
          <t xml:space="preserve">Beta</t>
        </is>
      </c>
      <c r="I463" s="14" t="inlineStr">
        <is>
          <t xml:space="preserve">Release build; staging request interception for attention data only.</t>
        </is>
      </c>
      <c r="J463" s="14" t="inlineStr">
        <is>
          <t xml:space="preserve">Open the dashboard with attention data delayed, then fail that request. Check main staffing data and navigation. Restore the request and use the available refresh or retry control.</t>
        </is>
      </c>
      <c r="K463" s="14" t="inlineStr">
        <is>
          <t xml:space="preserve">Delayed and failed attention request</t>
        </is>
      </c>
      <c r="L463" s="14" t="inlineStr">
        <is>
          <t xml:space="preserve">Core dashboard content and actions remain usable. Attention loading or failure is visible and recoverable. Failure is not displayed as a healthy zero count.</t>
        </is>
      </c>
      <c r="M463" s="14" t="inlineStr">
        <is>
          <t xml:space="preserve">Candidate</t>
        </is>
      </c>
      <c r="N463" s="14" t="inlineStr">
        <is>
          <t xml:space="preserve">Yes</t>
        </is>
      </c>
      <c r="O463" s="14" t="inlineStr">
        <is>
          <t xml:space="preserve">Active</t>
        </is>
      </c>
      <c r="P463" s="14" t="inlineStr">
        <is>
          <t xml:space="preserve">Added 25 October 2026. Record results after testing the deployed release.</t>
        </is>
      </c>
    </row>
    <row r="464" ht="180" customHeight="1">
      <c r="A464" s="14" t="inlineStr">
        <is>
          <t xml:space="preserve">RR-0484</t>
        </is>
      </c>
      <c r="B464" s="14" t="inlineStr">
        <is>
          <t xml:space="preserve">Manager Dashboard</t>
        </is>
      </c>
      <c r="C464" s="14" t="inlineStr">
        <is>
          <t xml:space="preserve">Location permissions</t>
        </is>
      </c>
      <c r="D464" s="14" t="inlineStr">
        <is>
          <t xml:space="preserve">Security</t>
        </is>
      </c>
      <c r="E464" s="14" t="inlineStr">
        <is>
          <t xml:space="preserve">Optimised dashboard queries respect manager location access</t>
        </is>
      </c>
      <c r="F464" s="14" t="inlineStr">
        <is>
          <t xml:space="preserve">Critical</t>
        </is>
      </c>
      <c r="G464" s="14" t="inlineStr">
        <is>
          <t xml:space="preserve">High</t>
        </is>
      </c>
      <c r="H464" s="14" t="inlineStr">
        <is>
          <t xml:space="preserve">Beta</t>
        </is>
      </c>
      <c r="I464" s="14" t="inlineStr">
        <is>
          <t xml:space="preserve">One manager limited to location A; location B has distinct employee data.</t>
        </is>
      </c>
      <c r="J464" s="14" t="inlineStr">
        <is>
          <t xml:space="preserve">Open the dashboard and location selector as the restricted manager. Try a bookmarked dashboard or request for location B, then return to A. Repeat as an employee.</t>
        </is>
      </c>
      <c r="K464" s="14" t="inlineStr">
        <is>
          <t xml:space="preserve">Two locations; restricted manager and employee</t>
        </is>
      </c>
      <c r="L464" s="14" t="inlineStr">
        <is>
          <t xml:space="preserve">Only authorised locations, staff and attendance are returned. Employee access does not expose the manager dashboard or management actions.</t>
        </is>
      </c>
      <c r="M464" s="14" t="inlineStr">
        <is>
          <t xml:space="preserve">Candidate</t>
        </is>
      </c>
      <c r="N464" s="14" t="inlineStr">
        <is>
          <t xml:space="preserve">Yes</t>
        </is>
      </c>
      <c r="O464" s="14" t="inlineStr">
        <is>
          <t xml:space="preserve">Active</t>
        </is>
      </c>
      <c r="P464" s="14" t="inlineStr">
        <is>
          <t xml:space="preserve">Added 25 October 2026. Record results after testing the deployed release.</t>
        </is>
      </c>
    </row>
    <row r="465" ht="180" customHeight="1">
      <c r="A465" s="14" t="inlineStr">
        <is>
          <t xml:space="preserve">RR-0485</t>
        </is>
      </c>
      <c r="B465" s="14" t="inlineStr">
        <is>
          <t xml:space="preserve">Manager Dashboard</t>
        </is>
      </c>
      <c r="C465" s="14" t="inlineStr">
        <is>
          <t xml:space="preserve">Attendance disabled</t>
        </is>
      </c>
      <c r="D465" s="14" t="inlineStr">
        <is>
          <t xml:space="preserve">Regression</t>
        </is>
      </c>
      <c r="E465" s="14" t="inlineStr">
        <is>
          <t xml:space="preserve">Dashboard remains useful when attendance is disabled</t>
        </is>
      </c>
      <c r="F465" s="14" t="inlineStr">
        <is>
          <t xml:space="preserve">High</t>
        </is>
      </c>
      <c r="G465" s="14" t="inlineStr">
        <is>
          <t xml:space="preserve">Medium</t>
        </is>
      </c>
      <c r="H465" s="14" t="inlineStr">
        <is>
          <t xml:space="preserve">Beta</t>
        </is>
      </c>
      <c r="I465" s="14" t="inlineStr">
        <is>
          <t xml:space="preserve">Location with published shifts and attendance disabled; authorised manager.</t>
        </is>
      </c>
      <c r="J465" s="14" t="inlineStr">
        <is>
          <t xml:space="preserve">Open the dashboard directly and navigate to it from another route. Change date and zone, inspect team rows and try rota actions.</t>
        </is>
      </c>
      <c r="K465" s="14" t="inlineStr">
        <is>
          <t xml:space="preserve">Rota-only location</t>
        </is>
      </c>
      <c r="L465" s="14" t="inlineStr">
        <is>
          <t xml:space="preserve">Published staffing is shown correctly. Attendance-only controls and statuses are omitted, filters remain usable, and no clock data access error prevents the dashboard loading.</t>
        </is>
      </c>
      <c r="M465" s="14" t="inlineStr">
        <is>
          <t xml:space="preserve">Candidate</t>
        </is>
      </c>
      <c r="N465" s="14" t="inlineStr">
        <is>
          <t xml:space="preserve">Yes</t>
        </is>
      </c>
      <c r="O465" s="14" t="inlineStr">
        <is>
          <t xml:space="preserve">Active</t>
        </is>
      </c>
      <c r="P465" s="14" t="inlineStr">
        <is>
          <t xml:space="preserve">Added 25 October 2026. Record results after testing the deployed release.</t>
        </is>
      </c>
    </row>
    <row r="466" ht="180" customHeight="1">
      <c r="A466" s="14" t="inlineStr">
        <is>
          <t xml:space="preserve">RR-0486</t>
        </is>
      </c>
      <c r="B466" s="14" t="inlineStr">
        <is>
          <t xml:space="preserve">NFC Clock-in Security</t>
        </is>
      </c>
      <c r="C466" s="14" t="inlineStr">
        <is>
          <t xml:space="preserve">Manual clock dialog loading</t>
        </is>
      </c>
      <c r="D466" s="14" t="inlineStr">
        <is>
          <t xml:space="preserve">Regression</t>
        </is>
      </c>
      <c r="E466" s="14" t="inlineStr">
        <is>
          <t xml:space="preserve">Open the deferred manual clock dialog on first and repeat use</t>
        </is>
      </c>
      <c r="F466" s="14" t="inlineStr">
        <is>
          <t xml:space="preserve">High</t>
        </is>
      </c>
      <c r="G466" s="14" t="inlineStr">
        <is>
          <t xml:space="preserve">Medium</t>
        </is>
      </c>
      <c r="H466" s="14" t="inlineStr">
        <is>
          <t xml:space="preserve">Beta</t>
        </is>
      </c>
      <c r="I466" s="14" t="inlineStr">
        <is>
          <t xml:space="preserve">Authorised clock manager; staging location with eligible employees.</t>
        </is>
      </c>
      <c r="J466" s="14" t="inlineStr">
        <is>
          <t xml:space="preserve">Load Time tracking with network recording. Open manual clock override, close without submitting, and reopen. In a separate run fail the dialog chunk request and exercise the error recovery.</t>
        </is>
      </c>
      <c r="K466" s="14" t="inlineStr">
        <is>
          <t xml:space="preserve">First open; repeat open; chunk load failure</t>
        </is>
      </c>
      <c r="L466" s="14" t="inlineStr">
        <is>
          <t xml:space="preserve">Page loads without downloading the heavy form before it is needed. First open provides a loading state then a usable form, repeat open works, and load failure is recoverable without recording attendance.</t>
        </is>
      </c>
      <c r="M466" s="14" t="inlineStr">
        <is>
          <t xml:space="preserve">Candidate</t>
        </is>
      </c>
      <c r="N466" s="14" t="inlineStr">
        <is>
          <t xml:space="preserve">Yes</t>
        </is>
      </c>
      <c r="O466" s="14" t="inlineStr">
        <is>
          <t xml:space="preserve">Active</t>
        </is>
      </c>
      <c r="P466" s="14" t="inlineStr">
        <is>
          <t xml:space="preserve">Added 25 October 2026. Record results after testing the deployed release.</t>
        </is>
      </c>
    </row>
    <row r="467" ht="180" customHeight="1">
      <c r="A467" s="14" t="inlineStr">
        <is>
          <t xml:space="preserve">RR-0487</t>
        </is>
      </c>
      <c r="B467" s="14" t="inlineStr">
        <is>
          <t xml:space="preserve">NFC Clock-in Security</t>
        </is>
      </c>
      <c r="C467" s="14" t="inlineStr">
        <is>
          <t xml:space="preserve">Backdated manual override</t>
        </is>
      </c>
      <c r="D467" s="14" t="inlineStr">
        <is>
          <t xml:space="preserve">Regression</t>
        </is>
      </c>
      <c r="E467" s="14" t="inlineStr">
        <is>
          <t xml:space="preserve">Backdated manual clocking uses location time and rejects invalid chronology</t>
        </is>
      </c>
      <c r="F467" s="14" t="inlineStr">
        <is>
          <t xml:space="preserve">High</t>
        </is>
      </c>
      <c r="G467" s="14" t="inlineStr">
        <is>
          <t xml:space="preserve">Medium</t>
        </is>
      </c>
      <c r="H467" s="14" t="inlineStr">
        <is>
          <t xml:space="preserve">Beta</t>
        </is>
      </c>
      <c r="I467" s="14" t="inlineStr">
        <is>
          <t xml:space="preserve">Staging manager; location timezone differs from device; employee with known clock history.</t>
        </is>
      </c>
      <c r="J467" s="14" t="inlineStr">
        <is>
          <t xml:space="preserve">Submit a valid backdated manual clock-in/out with a reason. Verify stored and displayed times. Attempt a future time, an out before its in, and a backdate conflicting with a later entry. Repeat at an overnight or DST boundary.</t>
        </is>
      </c>
      <c r="K467" s="14" t="inlineStr">
        <is>
          <t xml:space="preserve">Europe/London DST boundary; different device timezone</t>
        </is>
      </c>
      <c r="L467" s="14" t="inlineStr">
        <is>
          <t xml:space="preserve">Valid times use the location timezone and appear consistently in dashboard and timesheets. Invalid or conflicting chronology is rejected with no partial or duplicate entry.</t>
        </is>
      </c>
      <c r="M467" s="14" t="inlineStr">
        <is>
          <t xml:space="preserve">Candidate</t>
        </is>
      </c>
      <c r="N467" s="14" t="inlineStr">
        <is>
          <t xml:space="preserve">Yes</t>
        </is>
      </c>
      <c r="O467" s="14" t="inlineStr">
        <is>
          <t xml:space="preserve">Active</t>
        </is>
      </c>
      <c r="P467" s="14" t="inlineStr">
        <is>
          <t xml:space="preserve">Added 25 October 2026. Record results after testing the deployed release.</t>
        </is>
      </c>
    </row>
    <row r="468" ht="180" customHeight="1">
      <c r="A468" s="14" t="inlineStr">
        <is>
          <t xml:space="preserve">RR-0488</t>
        </is>
      </c>
      <c r="B468" s="14" t="inlineStr">
        <is>
          <t xml:space="preserve">Timesheets</t>
        </is>
      </c>
      <c r="C468" s="14" t="inlineStr">
        <is>
          <t xml:space="preserve">Scheduled automatic clock-out</t>
        </is>
      </c>
      <c r="D468" s="14" t="inlineStr">
        <is>
          <t xml:space="preserve">Integration</t>
        </is>
      </c>
      <c r="E468" s="14" t="inlineStr">
        <is>
          <t xml:space="preserve">Overdue scheduled entry closes as an estimate requiring review</t>
        </is>
      </c>
      <c r="F468" s="14" t="inlineStr">
        <is>
          <t xml:space="preserve">High</t>
        </is>
      </c>
      <c r="G468" s="14" t="inlineStr">
        <is>
          <t xml:space="preserve">Medium</t>
        </is>
      </c>
      <c r="H468" s="14" t="inlineStr">
        <is>
          <t xml:space="preserve">Beta</t>
        </is>
      </c>
      <c r="I468" s="14" t="inlineStr">
        <is>
          <t xml:space="preserve">Staging scheduled open time entry; known location reminder and hard-review thresholds; background job enabled.</t>
        </is>
      </c>
      <c r="J468" s="14" t="inlineStr">
        <is>
          <t xml:space="preserve">Observe the entry before and after its scheduled end plus hard-review threshold. Run the processor again. Inspect dashboard, timesheet, estimated finish, note and clock event.</t>
        </is>
      </c>
      <c r="K468" s="14" t="inlineStr">
        <is>
          <t xml:space="preserve">Published scheduled shift; custom hard-review delay</t>
        </is>
      </c>
      <c r="L468" s="14" t="inlineStr">
        <is>
          <t xml:space="preserve">Entry stays open before the threshold, then closes at its estimated scheduled finish rather than job processing time. It requires manager review and is labelled as estimated. Repeated processing creates no duplicate closure or audit event.</t>
        </is>
      </c>
      <c r="M468" s="14" t="inlineStr">
        <is>
          <t xml:space="preserve">Candidate</t>
        </is>
      </c>
      <c r="N468" s="14" t="inlineStr">
        <is>
          <t xml:space="preserve">Yes</t>
        </is>
      </c>
      <c r="O468" s="14" t="inlineStr">
        <is>
          <t xml:space="preserve">Active</t>
        </is>
      </c>
      <c r="P468" s="14" t="inlineStr">
        <is>
          <t xml:space="preserve">Added 25 October 2026. Record results after testing the deployed release.</t>
        </is>
      </c>
    </row>
    <row r="469" ht="180" customHeight="1">
      <c r="A469" s="14" t="inlineStr">
        <is>
          <t xml:space="preserve">RR-0489</t>
        </is>
      </c>
      <c r="B469" s="14" t="inlineStr">
        <is>
          <t xml:space="preserve">Timesheets</t>
        </is>
      </c>
      <c r="C469" s="14" t="inlineStr">
        <is>
          <t xml:space="preserve">Unscheduled automatic clock-out</t>
        </is>
      </c>
      <c r="D469" s="14" t="inlineStr">
        <is>
          <t xml:space="preserve">Integration</t>
        </is>
      </c>
      <c r="E469" s="14" t="inlineStr">
        <is>
          <t xml:space="preserve">Unscheduled closure uses the selected location's configured limit</t>
        </is>
      </c>
      <c r="F469" s="14" t="inlineStr">
        <is>
          <t xml:space="preserve">High</t>
        </is>
      </c>
      <c r="G469" s="14" t="inlineStr">
        <is>
          <t xml:space="preserve">Medium</t>
        </is>
      </c>
      <c r="H469" s="14" t="inlineStr">
        <is>
          <t xml:space="preserve">Beta</t>
        </is>
      </c>
      <c r="I469" s="14" t="inlineStr">
        <is>
          <t xml:space="preserve">Staging unscheduled open entries at two locations with different configured limits.</t>
        </is>
      </c>
      <c r="J469" s="14" t="inlineStr">
        <is>
          <t xml:space="preserve">Check reminder timing and text at each location. Advance processing to each configured limit and process twice. Inspect payable duration, estimated finish and review status.</t>
        </is>
      </c>
      <c r="K469" s="14" t="inlineStr">
        <is>
          <t xml:space="preserve">Different unscheduled limits and reminder lead times</t>
        </is>
      </c>
      <c r="L469" s="14" t="inlineStr">
        <is>
          <t xml:space="preserve">Each entry uses its own location limit and reminder wording. Closure estimates the finish from clock-in plus that limit, never gives negative duration, and requires review without duplicates.</t>
        </is>
      </c>
      <c r="M469" s="14" t="inlineStr">
        <is>
          <t xml:space="preserve">Candidate</t>
        </is>
      </c>
      <c r="N469" s="14" t="inlineStr">
        <is>
          <t xml:space="preserve">Yes</t>
        </is>
      </c>
      <c r="O469" s="14" t="inlineStr">
        <is>
          <t xml:space="preserve">Active</t>
        </is>
      </c>
      <c r="P469" s="14" t="inlineStr">
        <is>
          <t xml:space="preserve">Added 25 October 2026. Record results after testing the deployed release.</t>
        </is>
      </c>
    </row>
    <row r="470" ht="180" customHeight="1">
      <c r="A470" s="14" t="inlineStr">
        <is>
          <t xml:space="preserve">RR-0490</t>
        </is>
      </c>
      <c r="B470" s="14" t="inlineStr">
        <is>
          <t xml:space="preserve">PWA, Push &amp; Offline</t>
        </is>
      </c>
      <c r="C470" s="14" t="inlineStr">
        <is>
          <t xml:space="preserve">Clock-out reminder race</t>
        </is>
      </c>
      <c r="D470" s="14" t="inlineStr">
        <is>
          <t xml:space="preserve">Concurrency</t>
        </is>
      </c>
      <c r="E470" s="14" t="inlineStr">
        <is>
          <t xml:space="preserve">Clock-out reminder does not notify an employee who has already finished</t>
        </is>
      </c>
      <c r="F470" s="14" t="inlineStr">
        <is>
          <t xml:space="preserve">High</t>
        </is>
      </c>
      <c r="G470" s="14" t="inlineStr">
        <is>
          <t xml:space="preserve">Medium</t>
        </is>
      </c>
      <c r="H470" s="14" t="inlineStr">
        <is>
          <t xml:space="preserve">Beta</t>
        </is>
      </c>
      <c r="I470" s="14" t="inlineStr">
        <is>
          <t xml:space="preserve">Staging reminder eligible entry; controlled processor and employee clock-out timing.</t>
        </is>
      </c>
      <c r="J470" s="14" t="inlineStr">
        <is>
          <t xml:space="preserve">Claim a due reminder, clock the employee out before dispatch, then resume dispatch. In separate runs simulate a push provider failure and no subscribed device.</t>
        </is>
      </c>
      <c r="K470" s="14" t="inlineStr">
        <is>
          <t xml:space="preserve">Clock-out before dispatch; push failure; no device</t>
        </is>
      </c>
      <c r="L470" s="14" t="inlineStr">
        <is>
          <t xml:space="preserve">Closed entries receive no stale reminder. Push failure does not block automatic closure or falsely record delivery. Entries with no subscribed devices do not retry indefinitely.</t>
        </is>
      </c>
      <c r="M470" s="14" t="inlineStr">
        <is>
          <t xml:space="preserve">Candidate</t>
        </is>
      </c>
      <c r="N470" s="14" t="inlineStr">
        <is>
          <t xml:space="preserve">Yes</t>
        </is>
      </c>
      <c r="O470" s="14" t="inlineStr">
        <is>
          <t xml:space="preserve">Active</t>
        </is>
      </c>
      <c r="P470" s="14" t="inlineStr">
        <is>
          <t xml:space="preserve">Added 25 October 2026. Record results after testing the deployed release.</t>
        </is>
      </c>
    </row>
    <row r="471" ht="180" customHeight="1">
      <c r="A471" s="14" t="inlineStr">
        <is>
          <t xml:space="preserve">RR-0491</t>
        </is>
      </c>
      <c r="B471" s="14" t="inlineStr">
        <is>
          <t xml:space="preserve">Timesheets</t>
        </is>
      </c>
      <c r="C471" s="14" t="inlineStr">
        <is>
          <t xml:space="preserve">Time display preference</t>
        </is>
      </c>
      <c r="D471" s="14" t="inlineStr">
        <is>
          <t xml:space="preserve">Regression</t>
        </is>
      </c>
      <c r="E471" s="14" t="inlineStr">
        <is>
          <t xml:space="preserve">Use 12-hour and 24-hour time consistently across attendance pages</t>
        </is>
      </c>
      <c r="F471" s="14" t="inlineStr">
        <is>
          <t xml:space="preserve">Medium</t>
        </is>
      </c>
      <c r="G471" s="14" t="inlineStr">
        <is>
          <t xml:space="preserve">Medium</t>
        </is>
      </c>
      <c r="H471" s="14" t="inlineStr">
        <is>
          <t xml:space="preserve">Beta</t>
        </is>
      </c>
      <c r="I471" s="14" t="inlineStr">
        <is>
          <t xml:space="preserve">Manager and employee accounts; entries at midnight, noon and overnight.</t>
        </is>
      </c>
      <c r="J471" s="14" t="inlineStr">
        <is>
          <t xml:space="preserve">Select each supported time format in settings. Inspect dashboard shifts, Time tracking, manual clock forms and timesheets. Reload and compare with a device in another timezone.</t>
        </is>
      </c>
      <c r="K471" s="14" t="inlineStr">
        <is>
          <t xml:space="preserve">00:00; 12:00; 23:30; overnight shift</t>
        </is>
      </c>
      <c r="L471" s="14" t="inlineStr">
        <is>
          <t xml:space="preserve">Supported displays follow the saved location preference without changing the underlying timestamps, durations or location date. Noon and midnight remain unambiguous.</t>
        </is>
      </c>
      <c r="M471" s="14" t="inlineStr">
        <is>
          <t xml:space="preserve">Candidate</t>
        </is>
      </c>
      <c r="N471" s="14" t="inlineStr">
        <is>
          <t xml:space="preserve">No</t>
        </is>
      </c>
      <c r="O471" s="14" t="inlineStr">
        <is>
          <t xml:space="preserve">Active</t>
        </is>
      </c>
      <c r="P471" s="14" t="inlineStr">
        <is>
          <t xml:space="preserve">Added 25 October 2026. Record results after testing the deployed release.</t>
        </is>
      </c>
    </row>
    <row r="472" ht="180" customHeight="1">
      <c r="A472" s="14" t="inlineStr">
        <is>
          <t xml:space="preserve">RR-0492</t>
        </is>
      </c>
      <c r="B472" s="14" t="inlineStr">
        <is>
          <t xml:space="preserve">Publishing &amp; Notifications</t>
        </is>
      </c>
      <c r="C472" s="14" t="inlineStr">
        <is>
          <t xml:space="preserve">Publication numbers</t>
        </is>
      </c>
      <c r="D472" s="14" t="inlineStr">
        <is>
          <t xml:space="preserve">Regression</t>
        </is>
      </c>
      <c r="E472" s="14" t="inlineStr">
        <is>
          <t xml:space="preserve">Draft saves do not increment the visible publication number</t>
        </is>
      </c>
      <c r="F472" s="14" t="inlineStr">
        <is>
          <t xml:space="preserve">High</t>
        </is>
      </c>
      <c r="G472" s="14" t="inlineStr">
        <is>
          <t xml:space="preserve">Medium</t>
        </is>
      </c>
      <c r="H472" s="14" t="inlineStr">
        <is>
          <t xml:space="preserve">Beta</t>
        </is>
      </c>
      <c r="I472" s="14" t="inlineStr">
        <is>
          <t xml:space="preserve">Staging rota with an initial publication and employee viewer.</t>
        </is>
      </c>
      <c r="J472" s="14" t="inlineStr">
        <is>
          <t xml:space="preserve">Publish the draft and note its visible publication number. Edit and save twice without republishing. Check employee view, then republish once and check visible number and unread indicator.</t>
        </is>
      </c>
      <c r="K472" s="14" t="inlineStr">
        <is>
          <t xml:space="preserve">Multiple draft saves between two publications</t>
        </is>
      </c>
      <c r="L472" s="14" t="inlineStr">
        <is>
          <t xml:space="preserve">Visible publication number changes only when a new publication is made. Employee sees the previous snapshot until republish, then the new publication and appropriate unread state.</t>
        </is>
      </c>
      <c r="M472" s="14" t="inlineStr">
        <is>
          <t xml:space="preserve">Candidate</t>
        </is>
      </c>
      <c r="N472" s="14" t="inlineStr">
        <is>
          <t xml:space="preserve">Yes</t>
        </is>
      </c>
      <c r="O472" s="14" t="inlineStr">
        <is>
          <t xml:space="preserve">Active</t>
        </is>
      </c>
      <c r="P472" s="14" t="inlineStr">
        <is>
          <t xml:space="preserve">Added 25 October 2026. Record results after testing the deployed release.</t>
        </is>
      </c>
    </row>
    <row r="473" ht="180" customHeight="1">
      <c r="A473" s="14" t="inlineStr">
        <is>
          <t xml:space="preserve">RR-0493</t>
        </is>
      </c>
      <c r="B473" s="14" t="inlineStr">
        <is>
          <t xml:space="preserve">Admin Console &amp; Support</t>
        </is>
      </c>
      <c r="C473" s="14" t="inlineStr">
        <is>
          <t xml:space="preserve">Location feature flags</t>
        </is>
      </c>
      <c r="D473" s="14" t="inlineStr">
        <is>
          <t xml:space="preserve">Security</t>
        </is>
      </c>
      <c r="E473" s="14" t="inlineStr">
        <is>
          <t xml:space="preserve">Time-clock feature flags apply per location and are enforced server-side</t>
        </is>
      </c>
      <c r="F473" s="14" t="inlineStr">
        <is>
          <t xml:space="preserve">Critical</t>
        </is>
      </c>
      <c r="G473" s="14" t="inlineStr">
        <is>
          <t xml:space="preserve">High</t>
        </is>
      </c>
      <c r="H473" s="14" t="inlineStr">
        <is>
          <t xml:space="preserve">Beta</t>
        </is>
      </c>
      <c r="I473" s="14" t="inlineStr">
        <is>
          <t xml:space="preserve">Staging admin; locations A and B; authorised clock manager; independent clock-in and clock-out flags.</t>
        </is>
      </c>
      <c r="J473" s="14" t="inlineStr">
        <is>
          <t xml:space="preserve">Disable clock-in at A while leaving B enabled. Wait for flag cache expiry, reload each page and attempt the corresponding request directly. Repeat for the clock-out flag, restore defaults and verify recovery.</t>
        </is>
      </c>
      <c r="K473" s="14" t="inlineStr">
        <is>
          <t xml:space="preserve">Two locations; clock-in and clock-out flag variants</t>
        </is>
      </c>
      <c r="L473" s="14" t="inlineStr">
        <is>
          <t xml:space="preserve">Disabled actions fail server-side only for the targeted location. Other enabled actions and locations continue to work. Re-enabling restores access after refresh without losing existing attendance.</t>
        </is>
      </c>
      <c r="M473" s="14" t="inlineStr">
        <is>
          <t xml:space="preserve">Candidate</t>
        </is>
      </c>
      <c r="N473" s="14" t="inlineStr">
        <is>
          <t xml:space="preserve">Yes</t>
        </is>
      </c>
      <c r="O473" s="14" t="inlineStr">
        <is>
          <t xml:space="preserve">Active</t>
        </is>
      </c>
      <c r="P473" s="14" t="inlineStr">
        <is>
          <t xml:space="preserve">Added 25 October 2026. Record results after testing the deployed release.</t>
        </is>
      </c>
    </row>
    <row r="474" ht="180" customHeight="1">
      <c r="A474" s="14" t="inlineStr">
        <is>
          <t xml:space="preserve">RR-0494</t>
        </is>
      </c>
      <c r="B474" s="14" t="inlineStr">
        <is>
          <t xml:space="preserve">Admin Console &amp; Support</t>
        </is>
      </c>
      <c r="C474" s="14" t="inlineStr">
        <is>
          <t xml:space="preserve">Shift-swap availability flag</t>
        </is>
      </c>
      <c r="D474" s="14" t="inlineStr">
        <is>
          <t xml:space="preserve">Regression</t>
        </is>
      </c>
      <c r="E474" s="14" t="inlineStr">
        <is>
          <t xml:space="preserve">Disabled shift swaps cannot be used through a bookmarked route</t>
        </is>
      </c>
      <c r="F474" s="14" t="inlineStr">
        <is>
          <t xml:space="preserve">High</t>
        </is>
      </c>
      <c r="G474" s="14" t="inlineStr">
        <is>
          <t xml:space="preserve">Medium</t>
        </is>
      </c>
      <c r="H474" s="14" t="inlineStr">
        <is>
          <t xml:space="preserve">Beta</t>
        </is>
      </c>
      <c r="I474" s="14" t="inlineStr">
        <is>
          <t xml:space="preserve">Staging workspace with rota access; shift-swap availability flag configurable.</t>
        </is>
      </c>
      <c r="J474" s="14" t="inlineStr">
        <is>
          <t xml:space="preserve">Disable shift swaps and open /app/&lt;workspaceSlug&gt;/shift-swaps directly. Try a saved mutation request. Enable the feature and reload, then repeat as a user without rota access.</t>
        </is>
      </c>
      <c r="K474" s="14" t="inlineStr">
        <is>
          <t xml:space="preserve">Enabled; disabled; insufficient permissions</t>
        </is>
      </c>
      <c r="L474" s="14" t="inlineStr">
        <is>
          <t xml:space="preserve">Disabled route gives a clear unavailable state and mutations are blocked. Enabled authorised users receive the working flow. Users without access remain denied regardless of flag state.</t>
        </is>
      </c>
      <c r="M474" s="14" t="inlineStr">
        <is>
          <t xml:space="preserve">Candidate</t>
        </is>
      </c>
      <c r="N474" s="14" t="inlineStr">
        <is>
          <t xml:space="preserve">Yes</t>
        </is>
      </c>
      <c r="O474" s="14" t="inlineStr">
        <is>
          <t xml:space="preserve">Active</t>
        </is>
      </c>
      <c r="P474" s="14" t="inlineStr">
        <is>
          <t xml:space="preserve">Added 25 October 2026. Record results after testing the deployed release.</t>
        </is>
      </c>
    </row>
    <row r="475" ht="180" customHeight="1">
      <c r="A475" s="14" t="inlineStr">
        <is>
          <t xml:space="preserve">RR-0495</t>
        </is>
      </c>
      <c r="B475" s="14" t="inlineStr">
        <is>
          <t xml:space="preserve">Employee Dashboard</t>
        </is>
      </c>
      <c r="C475" s="14" t="inlineStr">
        <is>
          <t xml:space="preserve">Announcement targeting</t>
        </is>
      </c>
      <c r="D475" s="14" t="inlineStr">
        <is>
          <t xml:space="preserve">Security</t>
        </is>
      </c>
      <c r="E475" s="14" t="inlineStr">
        <is>
          <t xml:space="preserve">Manager announcement targeting stays within managed locations</t>
        </is>
      </c>
      <c r="F475" s="14" t="inlineStr">
        <is>
          <t xml:space="preserve">High</t>
        </is>
      </c>
      <c r="G475" s="14" t="inlineStr">
        <is>
          <t xml:space="preserve">Medium</t>
        </is>
      </c>
      <c r="H475" s="14" t="inlineStr">
        <is>
          <t xml:space="preserve">Beta</t>
        </is>
      </c>
      <c r="I475" s="14" t="inlineStr">
        <is>
          <t xml:space="preserve">Manager limited to A; owner; employees assigned only to A or B.</t>
        </is>
      </c>
      <c r="J475" s="14" t="inlineStr">
        <is>
          <t xml:space="preserve">Publish a staging announcement to A and inspect each employee account. As manager try targeting B or the entire organisation. As owner test valid organisation-wide targeting. Archive the test announcement.</t>
        </is>
      </c>
      <c r="K475" s="14" t="inlineStr">
        <is>
          <t xml:space="preserve">Location-specific and organisation-wide announcement</t>
        </is>
      </c>
      <c r="L475" s="14" t="inlineStr">
        <is>
          <t xml:space="preserve">Only intended employees receive or see the announcement. Manager cannot target unmanaged locations or organisation-wide scope. Owner's permitted organisation target works.</t>
        </is>
      </c>
      <c r="M475" s="14" t="inlineStr">
        <is>
          <t xml:space="preserve">Candidate</t>
        </is>
      </c>
      <c r="N475" s="14" t="inlineStr">
        <is>
          <t xml:space="preserve">Yes</t>
        </is>
      </c>
      <c r="O475" s="14" t="inlineStr">
        <is>
          <t xml:space="preserve">Active</t>
        </is>
      </c>
      <c r="P475" s="14" t="inlineStr">
        <is>
          <t xml:space="preserve">Added 25 October 2026. Record results after testing the deployed release.</t>
        </is>
      </c>
    </row>
    <row r="476" ht="180" customHeight="1">
      <c r="A476" s="14" t="inlineStr">
        <is>
          <t xml:space="preserve">RR-0496</t>
        </is>
      </c>
      <c r="B476" s="14" t="inlineStr">
        <is>
          <t xml:space="preserve">PWA, Push &amp; Offline</t>
        </is>
      </c>
      <c r="C476" s="14" t="inlineStr">
        <is>
          <t xml:space="preserve">Announcement preferences</t>
        </is>
      </c>
      <c r="D476" s="14" t="inlineStr">
        <is>
          <t xml:space="preserve">Regression</t>
        </is>
      </c>
      <c r="E476" s="14" t="inlineStr">
        <is>
          <t xml:space="preserve">Announcement notification preferences persist without hiding in-app content</t>
        </is>
      </c>
      <c r="F476" s="14" t="inlineStr">
        <is>
          <t xml:space="preserve">High</t>
        </is>
      </c>
      <c r="G476" s="14" t="inlineStr">
        <is>
          <t xml:space="preserve">Medium</t>
        </is>
      </c>
      <c r="H476" s="14" t="inlineStr">
        <is>
          <t xml:space="preserve">Beta</t>
        </is>
      </c>
      <c r="I476" s="14" t="inlineStr">
        <is>
          <t xml:space="preserve">Test employee subscribed to push; preference controls available; test announcement author.</t>
        </is>
      </c>
      <c r="J476" s="14" t="inlineStr">
        <is>
          <t xml:space="preserve">Change the supported announcement notification preference and reload. Send one staging announcement with notifications enabled and another after disabling that category. Inspect in-app unread state and push delivery, then restore the preference.</t>
        </is>
      </c>
      <c r="K476" s="14" t="inlineStr">
        <is>
          <t xml:space="preserve">Enabled and disabled announcement notifications</t>
        </is>
      </c>
      <c r="L476" s="14" t="inlineStr">
        <is>
          <t xml:space="preserve">Saved preference persists and supported notification channels respect it. Targeted announcements remain readable in-app. Reading an announcement clears its unread state without creating duplicate notifications.</t>
        </is>
      </c>
      <c r="M476" s="14" t="inlineStr">
        <is>
          <t xml:space="preserve">Manual</t>
        </is>
      </c>
      <c r="N476" s="14" t="inlineStr">
        <is>
          <t xml:space="preserve">No</t>
        </is>
      </c>
      <c r="O476" s="14" t="inlineStr">
        <is>
          <t xml:space="preserve">Active</t>
        </is>
      </c>
      <c r="P476" s="14" t="inlineStr">
        <is>
          <t xml:space="preserve">Added 25 October 2026. Record results after testing the deployed release.</t>
        </is>
      </c>
    </row>
    <row r="477" ht="180" customHeight="1">
      <c r="A477" s="14" t="inlineStr">
        <is>
          <t xml:space="preserve">RR-0497</t>
        </is>
      </c>
      <c r="B477" s="14" t="inlineStr">
        <is>
          <t xml:space="preserve">Templates, Notes &amp; Export</t>
        </is>
      </c>
      <c r="C477" s="14" t="inlineStr">
        <is>
          <t xml:space="preserve">Deferred rota dialogs</t>
        </is>
      </c>
      <c r="D477" s="14" t="inlineStr">
        <is>
          <t xml:space="preserve">Regression</t>
        </is>
      </c>
      <c r="E477" s="14" t="inlineStr">
        <is>
          <t xml:space="preserve">First use of create-rota and template dialogs works after route splitting</t>
        </is>
      </c>
      <c r="F477" s="14" t="inlineStr">
        <is>
          <t xml:space="preserve">High</t>
        </is>
      </c>
      <c r="G477" s="14" t="inlineStr">
        <is>
          <t xml:space="preserve">Medium</t>
        </is>
      </c>
      <c r="H477" s="14" t="inlineStr">
        <is>
          <t xml:space="preserve">Beta</t>
        </is>
      </c>
      <c r="I477" s="14" t="inlineStr">
        <is>
          <t xml:space="preserve">Staging manager; location with zones and saved template; release build.</t>
        </is>
      </c>
      <c r="J477" s="14" t="inlineStr">
        <is>
          <t xml:space="preserve">Cold-load the rota list, open Create rota and create a disposable future draft. Open the template dialog for the first time, apply a known template with required confirmation, close and reopen. Check keyboard focus and loading feedback.</t>
        </is>
      </c>
      <c r="K477" s="14" t="inlineStr">
        <is>
          <t xml:space="preserve">First-open and repeat-open dialogs</t>
        </is>
      </c>
      <c r="L477" s="14" t="inlineStr">
        <is>
          <t xml:space="preserve">Dialogs load with feedback and restore focus on close. Location, week and template selections remain correct and actions save once without a blank modal or missing module error.</t>
        </is>
      </c>
      <c r="M477" s="14" t="inlineStr">
        <is>
          <t xml:space="preserve">Candidate</t>
        </is>
      </c>
      <c r="N477" s="14" t="inlineStr">
        <is>
          <t xml:space="preserve">Yes</t>
        </is>
      </c>
      <c r="O477" s="14" t="inlineStr">
        <is>
          <t xml:space="preserve">Active</t>
        </is>
      </c>
      <c r="P477" s="14" t="inlineStr">
        <is>
          <t xml:space="preserve">Added 25 October 2026. Record results after testing the deployed release.</t>
        </is>
      </c>
    </row>
  </sheetData>
  <conditionalFormatting sqref="F2:F477">
    <cfRule type="expression" dxfId="0" priority="1">
      <formula>F2="Critical"</formula>
    </cfRule>
    <cfRule type="expression" dxfId="1" priority="2">
      <formula>F2="High"</formula>
    </cfRule>
  </conditionalFormatting>
  <conditionalFormatting sqref="N2:N477">
    <cfRule type="expression" dxfId="2" priority="3">
      <formula>N2="Yes"</formula>
    </cfRule>
  </conditionalFormatting>
  <dataValidations count="4">
    <dataValidation type="list" sqref="F2:F477">
      <formula1>"Critical,High,Medium,Low"</formula1>
    </dataValidation>
    <dataValidation type="list" sqref="M2:M477">
      <formula1>"Automate,Candidate,Manual"</formula1>
    </dataValidation>
    <dataValidation type="list" sqref="N2:N477">
      <formula1>"Yes,No"</formula1>
    </dataValidation>
    <dataValidation type="list" sqref="O2:O477">
      <formula1>"Active,Draft,Retired"</formula1>
    </dataValidation>
  </dataValidations>
  <pageMargins left="0.7" right="0.7" top="0.75" bottom="0.75" header="0.3" footer="0.3"/>
  <tableParts count="1">
    <tablePart r:id="R48250d80cb684d8b"/>
  </tableParts>
</worksheet>
</file>

<file path=xl/worksheets/sheet4.xml><?xml version="1.0" encoding="utf-8"?>
<worksheet xmlns="http://schemas.openxmlformats.org/spreadsheetml/2006/main" xmlns:r="http://schemas.openxmlformats.org/officeDocument/2006/relationships">
  <sheetFormatPr defaultRowHeight="15"/>
  <cols>
    <col min="1" max="1" width="15" hidden="0" customWidth="1"/>
    <col min="2" max="2" width="18" hidden="0" customWidth="1"/>
    <col min="3" max="3" width="12" hidden="0" customWidth="1"/>
    <col min="4" max="4" width="29" hidden="0" customWidth="1"/>
    <col min="5" max="5" width="28" hidden="0" customWidth="1"/>
    <col min="6" max="6" width="45" hidden="0" customWidth="1"/>
    <col min="7" max="7" width="11" hidden="0" customWidth="1"/>
    <col min="8" max="8" width="15" hidden="0" customWidth="1"/>
    <col min="9" max="9" width="15" hidden="0" customWidth="1"/>
    <col min="10" max="10" width="18" hidden="0" customWidth="1"/>
    <col min="11" max="11" width="13" hidden="0" customWidth="1"/>
    <col min="12" max="12" width="42" hidden="0" customWidth="1"/>
    <col min="13" max="13" width="28" hidden="0" customWidth="1"/>
    <col min="14" max="14" width="15" hidden="0" customWidth="1"/>
    <col min="15" max="15" width="15" hidden="0" customWidth="1"/>
    <col min="16" max="16" width="13" hidden="0" customWidth="1"/>
    <col min="17" max="17" width="32" hidden="0" customWidth="1"/>
  </cols>
  <sheetData>
    <row r="1" ht="34" customHeight="1">
      <c r="A1" s="6" t="inlineStr">
        <is>
          <t xml:space="preserve">Run ID</t>
        </is>
      </c>
      <c r="B1" s="6" t="inlineStr">
        <is>
          <t xml:space="preserve">Release / Sprint</t>
        </is>
      </c>
      <c r="C1" s="6" t="inlineStr">
        <is>
          <t xml:space="preserve">Test ID</t>
        </is>
      </c>
      <c r="D1" s="6" t="inlineStr">
        <is>
          <t xml:space="preserve">Area</t>
        </is>
      </c>
      <c r="E1" s="6" t="inlineStr">
        <is>
          <t xml:space="preserve">Feature</t>
        </is>
      </c>
      <c r="F1" s="6" t="inlineStr">
        <is>
          <t xml:space="preserve">Scenario</t>
        </is>
      </c>
      <c r="G1" s="6" t="inlineStr">
        <is>
          <t xml:space="preserve">Priority</t>
        </is>
      </c>
      <c r="H1" s="6" t="inlineStr">
        <is>
          <t xml:space="preserve">Environment</t>
        </is>
      </c>
      <c r="I1" s="6" t="inlineStr">
        <is>
          <t xml:space="preserve">Status</t>
        </is>
      </c>
      <c r="J1" s="6" t="inlineStr">
        <is>
          <t xml:space="preserve">Assignee</t>
        </is>
      </c>
      <c r="K1" s="6" t="inlineStr">
        <is>
          <t xml:space="preserve">Run Date</t>
        </is>
      </c>
      <c r="L1" s="6" t="inlineStr">
        <is>
          <t xml:space="preserve">Actual Result</t>
        </is>
      </c>
      <c r="M1" s="6" t="inlineStr">
        <is>
          <t xml:space="preserve">Evidence Link</t>
        </is>
      </c>
      <c r="N1" s="6" t="inlineStr">
        <is>
          <t xml:space="preserve">Defect ID</t>
        </is>
      </c>
      <c r="O1" s="6" t="inlineStr">
        <is>
          <t xml:space="preserve">Retest Status</t>
        </is>
      </c>
      <c r="P1" s="6" t="inlineStr">
        <is>
          <t xml:space="preserve">Release Gate</t>
        </is>
      </c>
      <c r="Q1" s="6" t="inlineStr">
        <is>
          <t xml:space="preserve">Notes</t>
        </is>
      </c>
    </row>
    <row r="2">
      <c r="A2" s="14" t="inlineStr">
        <is>
          <t xml:space="preserve">BETARUN-0001</t>
        </is>
      </c>
      <c r="B2" s="14" t="inlineStr">
        <is>
          <t xml:space="preserve">Beta Release</t>
        </is>
      </c>
      <c r="C2" s="14" t="inlineStr">
        <is>
          <t xml:space="preserve">RR-0001</t>
        </is>
      </c>
      <c r="D2" s="14" t="str">
        <f>IFERROR(VLOOKUP($C2,'Test Library'!$A:$P,2,FALSE),"")</f>
        <v>Authentication &amp; Accounts</v>
      </c>
      <c r="E2" s="14" t="str">
        <f>IFERROR(VLOOKUP($C2,'Test Library'!$A:$P,3,FALSE),"")</f>
        <v>Registration and verification</v>
      </c>
      <c r="F2" s="14" t="str">
        <f>IFERROR(VLOOKUP($C2,'Test Library'!$A:$P,5,FALSE),"")</f>
        <v>Register with valid owner details</v>
      </c>
      <c r="G2" s="14" t="str">
        <f>IFERROR(VLOOKUP($C2,'Test Library'!$A:$P,6,FALSE),"")</f>
        <v>Critical</v>
      </c>
      <c r="H2" s="14" t="inlineStr">
        <is>
          <t xml:space="preserve">Staging</t>
        </is>
      </c>
      <c r="I2" s="14" t="inlineStr">
        <is>
          <t xml:space="preserve">Not Run</t>
        </is>
      </c>
      <c r="J2" s="14"/>
      <c r="K2" s="17"/>
      <c r="L2" s="14"/>
      <c r="M2" s="14"/>
      <c r="N2" s="14"/>
      <c r="O2" s="14" t="inlineStr">
        <is>
          <t xml:space="preserve">Not Required</t>
        </is>
      </c>
      <c r="P2" s="14" t="str">
        <f>IFERROR(VLOOKUP($C2,'Test Library'!$A:$P,14,FALSE),"")</f>
        <v>Yes</v>
      </c>
      <c r="Q2" s="14"/>
    </row>
    <row r="3">
      <c r="A3" s="14" t="inlineStr">
        <is>
          <t xml:space="preserve">BETARUN-0002</t>
        </is>
      </c>
      <c r="B3" s="14" t="inlineStr">
        <is>
          <t xml:space="preserve">Beta Release</t>
        </is>
      </c>
      <c r="C3" s="14" t="inlineStr">
        <is>
          <t xml:space="preserve">RR-0002</t>
        </is>
      </c>
      <c r="D3" s="14" t="str">
        <f>IFERROR(VLOOKUP($C3,'Test Library'!$A:$P,2,FALSE),"")</f>
        <v>Authentication &amp; Accounts</v>
      </c>
      <c r="E3" s="14" t="str">
        <f>IFERROR(VLOOKUP($C3,'Test Library'!$A:$P,3,FALSE),"")</f>
        <v>Registration and verification</v>
      </c>
      <c r="F3" s="14" t="str">
        <f>IFERROR(VLOOKUP($C3,'Test Library'!$A:$P,5,FALSE),"")</f>
        <v>Register using an email that already has an account</v>
      </c>
      <c r="G3" s="14" t="str">
        <f>IFERROR(VLOOKUP($C3,'Test Library'!$A:$P,6,FALSE),"")</f>
        <v>High</v>
      </c>
      <c r="H3" s="14" t="inlineStr">
        <is>
          <t xml:space="preserve">Staging</t>
        </is>
      </c>
      <c r="I3" s="14" t="inlineStr">
        <is>
          <t xml:space="preserve">Not Run</t>
        </is>
      </c>
      <c r="J3" s="14"/>
      <c r="K3" s="17"/>
      <c r="L3" s="14"/>
      <c r="M3" s="14"/>
      <c r="N3" s="14"/>
      <c r="O3" s="14" t="inlineStr">
        <is>
          <t xml:space="preserve">Not Required</t>
        </is>
      </c>
      <c r="P3" s="14" t="str">
        <f>IFERROR(VLOOKUP($C3,'Test Library'!$A:$P,14,FALSE),"")</f>
        <v>Yes</v>
      </c>
      <c r="Q3" s="14"/>
    </row>
    <row r="4">
      <c r="A4" s="14" t="inlineStr">
        <is>
          <t xml:space="preserve">BETARUN-0003</t>
        </is>
      </c>
      <c r="B4" s="14" t="inlineStr">
        <is>
          <t xml:space="preserve">Beta Release</t>
        </is>
      </c>
      <c r="C4" s="14" t="inlineStr">
        <is>
          <t xml:space="preserve">RR-0003</t>
        </is>
      </c>
      <c r="D4" s="14" t="str">
        <f>IFERROR(VLOOKUP($C4,'Test Library'!$A:$P,2,FALSE),"")</f>
        <v>Authentication &amp; Accounts</v>
      </c>
      <c r="E4" s="14" t="str">
        <f>IFERROR(VLOOKUP($C4,'Test Library'!$A:$P,3,FALSE),"")</f>
        <v>Registration and verification</v>
      </c>
      <c r="F4" s="14" t="str">
        <f>IFERROR(VLOOKUP($C4,'Test Library'!$A:$P,5,FALSE),"")</f>
        <v>Register with an invalid email format</v>
      </c>
      <c r="G4" s="14" t="str">
        <f>IFERROR(VLOOKUP($C4,'Test Library'!$A:$P,6,FALSE),"")</f>
        <v>Medium</v>
      </c>
      <c r="H4" s="14" t="inlineStr">
        <is>
          <t xml:space="preserve">Staging</t>
        </is>
      </c>
      <c r="I4" s="14" t="inlineStr">
        <is>
          <t xml:space="preserve">Not Run</t>
        </is>
      </c>
      <c r="J4" s="14"/>
      <c r="K4" s="17"/>
      <c r="L4" s="14"/>
      <c r="M4" s="14"/>
      <c r="N4" s="14"/>
      <c r="O4" s="14" t="inlineStr">
        <is>
          <t xml:space="preserve">Not Required</t>
        </is>
      </c>
      <c r="P4" s="14" t="str">
        <f>IFERROR(VLOOKUP($C4,'Test Library'!$A:$P,14,FALSE),"")</f>
        <v>No</v>
      </c>
      <c r="Q4" s="14"/>
    </row>
    <row r="5">
      <c r="A5" s="14" t="inlineStr">
        <is>
          <t xml:space="preserve">BETARUN-0004</t>
        </is>
      </c>
      <c r="B5" s="14" t="inlineStr">
        <is>
          <t xml:space="preserve">Beta Release</t>
        </is>
      </c>
      <c r="C5" s="14" t="inlineStr">
        <is>
          <t xml:space="preserve">RR-0004</t>
        </is>
      </c>
      <c r="D5" s="14" t="str">
        <f>IFERROR(VLOOKUP($C5,'Test Library'!$A:$P,2,FALSE),"")</f>
        <v>Authentication &amp; Accounts</v>
      </c>
      <c r="E5" s="14" t="str">
        <f>IFERROR(VLOOKUP($C5,'Test Library'!$A:$P,3,FALSE),"")</f>
        <v>Registration and verification</v>
      </c>
      <c r="F5" s="14" t="str">
        <f>IFERROR(VLOOKUP($C5,'Test Library'!$A:$P,5,FALSE),"")</f>
        <v>Register with a weak password</v>
      </c>
      <c r="G5" s="14" t="str">
        <f>IFERROR(VLOOKUP($C5,'Test Library'!$A:$P,6,FALSE),"")</f>
        <v>High</v>
      </c>
      <c r="H5" s="14" t="inlineStr">
        <is>
          <t xml:space="preserve">Staging</t>
        </is>
      </c>
      <c r="I5" s="14" t="inlineStr">
        <is>
          <t xml:space="preserve">Not Run</t>
        </is>
      </c>
      <c r="J5" s="14"/>
      <c r="K5" s="17"/>
      <c r="L5" s="14"/>
      <c r="M5" s="14"/>
      <c r="N5" s="14"/>
      <c r="O5" s="14" t="inlineStr">
        <is>
          <t xml:space="preserve">Not Required</t>
        </is>
      </c>
      <c r="P5" s="14" t="str">
        <f>IFERROR(VLOOKUP($C5,'Test Library'!$A:$P,14,FALSE),"")</f>
        <v>Yes</v>
      </c>
      <c r="Q5" s="14"/>
    </row>
    <row r="6">
      <c r="A6" s="14" t="inlineStr">
        <is>
          <t xml:space="preserve">BETARUN-0005</t>
        </is>
      </c>
      <c r="B6" s="14" t="inlineStr">
        <is>
          <t xml:space="preserve">Beta Release</t>
        </is>
      </c>
      <c r="C6" s="14" t="inlineStr">
        <is>
          <t xml:space="preserve">RR-0005</t>
        </is>
      </c>
      <c r="D6" s="14" t="str">
        <f>IFERROR(VLOOKUP($C6,'Test Library'!$A:$P,2,FALSE),"")</f>
        <v>Authentication &amp; Accounts</v>
      </c>
      <c r="E6" s="14" t="str">
        <f>IFERROR(VLOOKUP($C6,'Test Library'!$A:$P,3,FALSE),"")</f>
        <v>Registration and verification</v>
      </c>
      <c r="F6" s="14" t="str">
        <f>IFERROR(VLOOKUP($C6,'Test Library'!$A:$P,5,FALSE),"")</f>
        <v>Submit registration twice rapidly</v>
      </c>
      <c r="G6" s="14" t="str">
        <f>IFERROR(VLOOKUP($C6,'Test Library'!$A:$P,6,FALSE),"")</f>
        <v>High</v>
      </c>
      <c r="H6" s="14" t="inlineStr">
        <is>
          <t xml:space="preserve">Staging</t>
        </is>
      </c>
      <c r="I6" s="14" t="inlineStr">
        <is>
          <t xml:space="preserve">Not Run</t>
        </is>
      </c>
      <c r="J6" s="14"/>
      <c r="K6" s="17"/>
      <c r="L6" s="14"/>
      <c r="M6" s="14"/>
      <c r="N6" s="14"/>
      <c r="O6" s="14" t="inlineStr">
        <is>
          <t xml:space="preserve">Not Required</t>
        </is>
      </c>
      <c r="P6" s="14" t="str">
        <f>IFERROR(VLOOKUP($C6,'Test Library'!$A:$P,14,FALSE),"")</f>
        <v>Yes</v>
      </c>
      <c r="Q6" s="14"/>
    </row>
    <row r="7">
      <c r="A7" s="14" t="inlineStr">
        <is>
          <t xml:space="preserve">BETARUN-0006</t>
        </is>
      </c>
      <c r="B7" s="14" t="inlineStr">
        <is>
          <t xml:space="preserve">Beta Release</t>
        </is>
      </c>
      <c r="C7" s="14" t="inlineStr">
        <is>
          <t xml:space="preserve">RR-0006</t>
        </is>
      </c>
      <c r="D7" s="14" t="str">
        <f>IFERROR(VLOOKUP($C7,'Test Library'!$A:$P,2,FALSE),"")</f>
        <v>Authentication &amp; Accounts</v>
      </c>
      <c r="E7" s="14" t="str">
        <f>IFERROR(VLOOKUP($C7,'Test Library'!$A:$P,3,FALSE),"")</f>
        <v>Registration and verification</v>
      </c>
      <c r="F7" s="14" t="str">
        <f>IFERROR(VLOOKUP($C7,'Test Library'!$A:$P,5,FALSE),"")</f>
        <v>Open a valid verification link</v>
      </c>
      <c r="G7" s="14" t="str">
        <f>IFERROR(VLOOKUP($C7,'Test Library'!$A:$P,6,FALSE),"")</f>
        <v>Critical</v>
      </c>
      <c r="H7" s="14" t="inlineStr">
        <is>
          <t xml:space="preserve">Staging</t>
        </is>
      </c>
      <c r="I7" s="14" t="inlineStr">
        <is>
          <t xml:space="preserve">Not Run</t>
        </is>
      </c>
      <c r="J7" s="14"/>
      <c r="K7" s="17"/>
      <c r="L7" s="14"/>
      <c r="M7" s="14"/>
      <c r="N7" s="14"/>
      <c r="O7" s="14" t="inlineStr">
        <is>
          <t xml:space="preserve">Not Required</t>
        </is>
      </c>
      <c r="P7" s="14" t="str">
        <f>IFERROR(VLOOKUP($C7,'Test Library'!$A:$P,14,FALSE),"")</f>
        <v>Yes</v>
      </c>
      <c r="Q7" s="14"/>
    </row>
    <row r="8">
      <c r="A8" s="14" t="inlineStr">
        <is>
          <t xml:space="preserve">BETARUN-0007</t>
        </is>
      </c>
      <c r="B8" s="14" t="inlineStr">
        <is>
          <t xml:space="preserve">Beta Release</t>
        </is>
      </c>
      <c r="C8" s="14" t="inlineStr">
        <is>
          <t xml:space="preserve">RR-0007</t>
        </is>
      </c>
      <c r="D8" s="14" t="str">
        <f>IFERROR(VLOOKUP($C8,'Test Library'!$A:$P,2,FALSE),"")</f>
        <v>Authentication &amp; Accounts</v>
      </c>
      <c r="E8" s="14" t="str">
        <f>IFERROR(VLOOKUP($C8,'Test Library'!$A:$P,3,FALSE),"")</f>
        <v>Registration and verification</v>
      </c>
      <c r="F8" s="14" t="str">
        <f>IFERROR(VLOOKUP($C8,'Test Library'!$A:$P,5,FALSE),"")</f>
        <v>Open an expired verification link</v>
      </c>
      <c r="G8" s="14" t="str">
        <f>IFERROR(VLOOKUP($C8,'Test Library'!$A:$P,6,FALSE),"")</f>
        <v>High</v>
      </c>
      <c r="H8" s="14" t="inlineStr">
        <is>
          <t xml:space="preserve">Staging</t>
        </is>
      </c>
      <c r="I8" s="14" t="inlineStr">
        <is>
          <t xml:space="preserve">Not Run</t>
        </is>
      </c>
      <c r="J8" s="14"/>
      <c r="K8" s="17"/>
      <c r="L8" s="14"/>
      <c r="M8" s="14"/>
      <c r="N8" s="14"/>
      <c r="O8" s="14" t="inlineStr">
        <is>
          <t xml:space="preserve">Not Required</t>
        </is>
      </c>
      <c r="P8" s="14" t="str">
        <f>IFERROR(VLOOKUP($C8,'Test Library'!$A:$P,14,FALSE),"")</f>
        <v>Yes</v>
      </c>
      <c r="Q8" s="14"/>
    </row>
    <row r="9">
      <c r="A9" s="14" t="inlineStr">
        <is>
          <t xml:space="preserve">BETARUN-0008</t>
        </is>
      </c>
      <c r="B9" s="14" t="inlineStr">
        <is>
          <t xml:space="preserve">Beta Release</t>
        </is>
      </c>
      <c r="C9" s="14" t="inlineStr">
        <is>
          <t xml:space="preserve">RR-0008</t>
        </is>
      </c>
      <c r="D9" s="14" t="str">
        <f>IFERROR(VLOOKUP($C9,'Test Library'!$A:$P,2,FALSE),"")</f>
        <v>Authentication &amp; Accounts</v>
      </c>
      <c r="E9" s="14" t="str">
        <f>IFERROR(VLOOKUP($C9,'Test Library'!$A:$P,3,FALSE),"")</f>
        <v>Registration and verification</v>
      </c>
      <c r="F9" s="14" t="str">
        <f>IFERROR(VLOOKUP($C9,'Test Library'!$A:$P,5,FALSE),"")</f>
        <v>Resend verification repeatedly</v>
      </c>
      <c r="G9" s="14" t="str">
        <f>IFERROR(VLOOKUP($C9,'Test Library'!$A:$P,6,FALSE),"")</f>
        <v>High</v>
      </c>
      <c r="H9" s="14" t="inlineStr">
        <is>
          <t xml:space="preserve">Staging</t>
        </is>
      </c>
      <c r="I9" s="14" t="inlineStr">
        <is>
          <t xml:space="preserve">Not Run</t>
        </is>
      </c>
      <c r="J9" s="14"/>
      <c r="K9" s="17"/>
      <c r="L9" s="14"/>
      <c r="M9" s="14"/>
      <c r="N9" s="14"/>
      <c r="O9" s="14" t="inlineStr">
        <is>
          <t xml:space="preserve">Not Required</t>
        </is>
      </c>
      <c r="P9" s="14" t="str">
        <f>IFERROR(VLOOKUP($C9,'Test Library'!$A:$P,14,FALSE),"")</f>
        <v>Yes</v>
      </c>
      <c r="Q9" s="14"/>
    </row>
    <row r="10">
      <c r="A10" s="14" t="inlineStr">
        <is>
          <t xml:space="preserve">BETARUN-0009</t>
        </is>
      </c>
      <c r="B10" s="14" t="inlineStr">
        <is>
          <t xml:space="preserve">Beta Release</t>
        </is>
      </c>
      <c r="C10" s="14" t="inlineStr">
        <is>
          <t xml:space="preserve">RR-0009</t>
        </is>
      </c>
      <c r="D10" s="14" t="str">
        <f>IFERROR(VLOOKUP($C10,'Test Library'!$A:$P,2,FALSE),"")</f>
        <v>Authentication &amp; Accounts</v>
      </c>
      <c r="E10" s="14" t="str">
        <f>IFERROR(VLOOKUP($C10,'Test Library'!$A:$P,3,FALSE),"")</f>
        <v>Sign-in, sessions and recovery</v>
      </c>
      <c r="F10" s="14" t="str">
        <f>IFERROR(VLOOKUP($C10,'Test Library'!$A:$P,5,FALSE),"")</f>
        <v>Sign in with valid verified credentials</v>
      </c>
      <c r="G10" s="14" t="str">
        <f>IFERROR(VLOOKUP($C10,'Test Library'!$A:$P,6,FALSE),"")</f>
        <v>Critical</v>
      </c>
      <c r="H10" s="14" t="inlineStr">
        <is>
          <t xml:space="preserve">Staging</t>
        </is>
      </c>
      <c r="I10" s="14" t="inlineStr">
        <is>
          <t xml:space="preserve">Not Run</t>
        </is>
      </c>
      <c r="J10" s="14"/>
      <c r="K10" s="17"/>
      <c r="L10" s="14"/>
      <c r="M10" s="14"/>
      <c r="N10" s="14"/>
      <c r="O10" s="14" t="inlineStr">
        <is>
          <t xml:space="preserve">Not Required</t>
        </is>
      </c>
      <c r="P10" s="14" t="str">
        <f>IFERROR(VLOOKUP($C10,'Test Library'!$A:$P,14,FALSE),"")</f>
        <v>Yes</v>
      </c>
      <c r="Q10" s="14"/>
    </row>
    <row r="11">
      <c r="A11" s="14" t="inlineStr">
        <is>
          <t xml:space="preserve">BETARUN-0010</t>
        </is>
      </c>
      <c r="B11" s="14" t="inlineStr">
        <is>
          <t xml:space="preserve">Beta Release</t>
        </is>
      </c>
      <c r="C11" s="14" t="inlineStr">
        <is>
          <t xml:space="preserve">RR-0010</t>
        </is>
      </c>
      <c r="D11" s="14" t="str">
        <f>IFERROR(VLOOKUP($C11,'Test Library'!$A:$P,2,FALSE),"")</f>
        <v>Authentication &amp; Accounts</v>
      </c>
      <c r="E11" s="14" t="str">
        <f>IFERROR(VLOOKUP($C11,'Test Library'!$A:$P,3,FALSE),"")</f>
        <v>Sign-in, sessions and recovery</v>
      </c>
      <c r="F11" s="14" t="str">
        <f>IFERROR(VLOOKUP($C11,'Test Library'!$A:$P,5,FALSE),"")</f>
        <v>Sign in with the wrong password</v>
      </c>
      <c r="G11" s="14" t="str">
        <f>IFERROR(VLOOKUP($C11,'Test Library'!$A:$P,6,FALSE),"")</f>
        <v>Critical</v>
      </c>
      <c r="H11" s="14" t="inlineStr">
        <is>
          <t xml:space="preserve">Staging</t>
        </is>
      </c>
      <c r="I11" s="14" t="inlineStr">
        <is>
          <t xml:space="preserve">Not Run</t>
        </is>
      </c>
      <c r="J11" s="14"/>
      <c r="K11" s="17"/>
      <c r="L11" s="14"/>
      <c r="M11" s="14"/>
      <c r="N11" s="14"/>
      <c r="O11" s="14" t="inlineStr">
        <is>
          <t xml:space="preserve">Not Required</t>
        </is>
      </c>
      <c r="P11" s="14" t="str">
        <f>IFERROR(VLOOKUP($C11,'Test Library'!$A:$P,14,FALSE),"")</f>
        <v>Yes</v>
      </c>
      <c r="Q11" s="14"/>
    </row>
    <row r="12">
      <c r="A12" s="14" t="inlineStr">
        <is>
          <t xml:space="preserve">BETARUN-0011</t>
        </is>
      </c>
      <c r="B12" s="14" t="inlineStr">
        <is>
          <t xml:space="preserve">Beta Release</t>
        </is>
      </c>
      <c r="C12" s="14" t="inlineStr">
        <is>
          <t xml:space="preserve">RR-0011</t>
        </is>
      </c>
      <c r="D12" s="14" t="str">
        <f>IFERROR(VLOOKUP($C12,'Test Library'!$A:$P,2,FALSE),"")</f>
        <v>Authentication &amp; Accounts</v>
      </c>
      <c r="E12" s="14" t="str">
        <f>IFERROR(VLOOKUP($C12,'Test Library'!$A:$P,3,FALSE),"")</f>
        <v>Sign-in, sessions and recovery</v>
      </c>
      <c r="F12" s="14" t="str">
        <f>IFERROR(VLOOKUP($C12,'Test Library'!$A:$P,5,FALSE),"")</f>
        <v>Sign in before email verification</v>
      </c>
      <c r="G12" s="14" t="str">
        <f>IFERROR(VLOOKUP($C12,'Test Library'!$A:$P,6,FALSE),"")</f>
        <v>High</v>
      </c>
      <c r="H12" s="14" t="inlineStr">
        <is>
          <t xml:space="preserve">Staging</t>
        </is>
      </c>
      <c r="I12" s="14" t="inlineStr">
        <is>
          <t xml:space="preserve">Not Run</t>
        </is>
      </c>
      <c r="J12" s="14"/>
      <c r="K12" s="17"/>
      <c r="L12" s="14"/>
      <c r="M12" s="14"/>
      <c r="N12" s="14"/>
      <c r="O12" s="14" t="inlineStr">
        <is>
          <t xml:space="preserve">Not Required</t>
        </is>
      </c>
      <c r="P12" s="14" t="str">
        <f>IFERROR(VLOOKUP($C12,'Test Library'!$A:$P,14,FALSE),"")</f>
        <v>Yes</v>
      </c>
      <c r="Q12" s="14"/>
    </row>
    <row r="13">
      <c r="A13" s="14" t="inlineStr">
        <is>
          <t xml:space="preserve">BETARUN-0012</t>
        </is>
      </c>
      <c r="B13" s="14" t="inlineStr">
        <is>
          <t xml:space="preserve">Beta Release</t>
        </is>
      </c>
      <c r="C13" s="14" t="inlineStr">
        <is>
          <t xml:space="preserve">RR-0012</t>
        </is>
      </c>
      <c r="D13" s="14" t="str">
        <f>IFERROR(VLOOKUP($C13,'Test Library'!$A:$P,2,FALSE),"")</f>
        <v>Authentication &amp; Accounts</v>
      </c>
      <c r="E13" s="14" t="str">
        <f>IFERROR(VLOOKUP($C13,'Test Library'!$A:$P,3,FALSE),"")</f>
        <v>Sign-in, sessions and recovery</v>
      </c>
      <c r="F13" s="14" t="str">
        <f>IFERROR(VLOOKUP($C13,'Test Library'!$A:$P,5,FALSE),"")</f>
        <v>Request a password reset for an existing email</v>
      </c>
      <c r="G13" s="14" t="str">
        <f>IFERROR(VLOOKUP($C13,'Test Library'!$A:$P,6,FALSE),"")</f>
        <v>High</v>
      </c>
      <c r="H13" s="14" t="inlineStr">
        <is>
          <t xml:space="preserve">Staging</t>
        </is>
      </c>
      <c r="I13" s="14" t="inlineStr">
        <is>
          <t xml:space="preserve">Not Run</t>
        </is>
      </c>
      <c r="J13" s="14"/>
      <c r="K13" s="17"/>
      <c r="L13" s="14"/>
      <c r="M13" s="14"/>
      <c r="N13" s="14"/>
      <c r="O13" s="14" t="inlineStr">
        <is>
          <t xml:space="preserve">Not Required</t>
        </is>
      </c>
      <c r="P13" s="14" t="str">
        <f>IFERROR(VLOOKUP($C13,'Test Library'!$A:$P,14,FALSE),"")</f>
        <v>Yes</v>
      </c>
      <c r="Q13" s="14"/>
    </row>
    <row r="14">
      <c r="A14" s="14" t="inlineStr">
        <is>
          <t xml:space="preserve">BETARUN-0013</t>
        </is>
      </c>
      <c r="B14" s="14" t="inlineStr">
        <is>
          <t xml:space="preserve">Beta Release</t>
        </is>
      </c>
      <c r="C14" s="14" t="inlineStr">
        <is>
          <t xml:space="preserve">RR-0013</t>
        </is>
      </c>
      <c r="D14" s="14" t="str">
        <f>IFERROR(VLOOKUP($C14,'Test Library'!$A:$P,2,FALSE),"")</f>
        <v>Authentication &amp; Accounts</v>
      </c>
      <c r="E14" s="14" t="str">
        <f>IFERROR(VLOOKUP($C14,'Test Library'!$A:$P,3,FALSE),"")</f>
        <v>Sign-in, sessions and recovery</v>
      </c>
      <c r="F14" s="14" t="str">
        <f>IFERROR(VLOOKUP($C14,'Test Library'!$A:$P,5,FALSE),"")</f>
        <v>Request a password reset for an unknown email</v>
      </c>
      <c r="G14" s="14" t="str">
        <f>IFERROR(VLOOKUP($C14,'Test Library'!$A:$P,6,FALSE),"")</f>
        <v>High</v>
      </c>
      <c r="H14" s="14" t="inlineStr">
        <is>
          <t xml:space="preserve">Staging</t>
        </is>
      </c>
      <c r="I14" s="14" t="inlineStr">
        <is>
          <t xml:space="preserve">Not Run</t>
        </is>
      </c>
      <c r="J14" s="14"/>
      <c r="K14" s="17"/>
      <c r="L14" s="14"/>
      <c r="M14" s="14"/>
      <c r="N14" s="14"/>
      <c r="O14" s="14" t="inlineStr">
        <is>
          <t xml:space="preserve">Not Required</t>
        </is>
      </c>
      <c r="P14" s="14" t="str">
        <f>IFERROR(VLOOKUP($C14,'Test Library'!$A:$P,14,FALSE),"")</f>
        <v>Yes</v>
      </c>
      <c r="Q14" s="14"/>
    </row>
    <row r="15">
      <c r="A15" s="14" t="inlineStr">
        <is>
          <t xml:space="preserve">BETARUN-0014</t>
        </is>
      </c>
      <c r="B15" s="14" t="inlineStr">
        <is>
          <t xml:space="preserve">Beta Release</t>
        </is>
      </c>
      <c r="C15" s="14" t="inlineStr">
        <is>
          <t xml:space="preserve">RR-0014</t>
        </is>
      </c>
      <c r="D15" s="14" t="str">
        <f>IFERROR(VLOOKUP($C15,'Test Library'!$A:$P,2,FALSE),"")</f>
        <v>Authentication &amp; Accounts</v>
      </c>
      <c r="E15" s="14" t="str">
        <f>IFERROR(VLOOKUP($C15,'Test Library'!$A:$P,3,FALSE),"")</f>
        <v>Sign-in, sessions and recovery</v>
      </c>
      <c r="F15" s="14" t="str">
        <f>IFERROR(VLOOKUP($C15,'Test Library'!$A:$P,5,FALSE),"")</f>
        <v>Use a valid password-reset token</v>
      </c>
      <c r="G15" s="14" t="str">
        <f>IFERROR(VLOOKUP($C15,'Test Library'!$A:$P,6,FALSE),"")</f>
        <v>Critical</v>
      </c>
      <c r="H15" s="14" t="inlineStr">
        <is>
          <t xml:space="preserve">Staging</t>
        </is>
      </c>
      <c r="I15" s="14" t="inlineStr">
        <is>
          <t xml:space="preserve">Not Run</t>
        </is>
      </c>
      <c r="J15" s="14"/>
      <c r="K15" s="17"/>
      <c r="L15" s="14"/>
      <c r="M15" s="14"/>
      <c r="N15" s="14"/>
      <c r="O15" s="14" t="inlineStr">
        <is>
          <t xml:space="preserve">Not Required</t>
        </is>
      </c>
      <c r="P15" s="14" t="str">
        <f>IFERROR(VLOOKUP($C15,'Test Library'!$A:$P,14,FALSE),"")</f>
        <v>Yes</v>
      </c>
      <c r="Q15" s="14"/>
    </row>
    <row r="16">
      <c r="A16" s="14" t="inlineStr">
        <is>
          <t xml:space="preserve">BETARUN-0015</t>
        </is>
      </c>
      <c r="B16" s="14" t="inlineStr">
        <is>
          <t xml:space="preserve">Beta Release</t>
        </is>
      </c>
      <c r="C16" s="14" t="inlineStr">
        <is>
          <t xml:space="preserve">RR-0015</t>
        </is>
      </c>
      <c r="D16" s="14" t="str">
        <f>IFERROR(VLOOKUP($C16,'Test Library'!$A:$P,2,FALSE),"")</f>
        <v>Authentication &amp; Accounts</v>
      </c>
      <c r="E16" s="14" t="str">
        <f>IFERROR(VLOOKUP($C16,'Test Library'!$A:$P,3,FALSE),"")</f>
        <v>Sign-in, sessions and recovery</v>
      </c>
      <c r="F16" s="14" t="str">
        <f>IFERROR(VLOOKUP($C16,'Test Library'!$A:$P,5,FALSE),"")</f>
        <v>Use an expired or already-used reset token</v>
      </c>
      <c r="G16" s="14" t="str">
        <f>IFERROR(VLOOKUP($C16,'Test Library'!$A:$P,6,FALSE),"")</f>
        <v>High</v>
      </c>
      <c r="H16" s="14" t="inlineStr">
        <is>
          <t xml:space="preserve">Staging</t>
        </is>
      </c>
      <c r="I16" s="14" t="inlineStr">
        <is>
          <t xml:space="preserve">Not Run</t>
        </is>
      </c>
      <c r="J16" s="14"/>
      <c r="K16" s="17"/>
      <c r="L16" s="14"/>
      <c r="M16" s="14"/>
      <c r="N16" s="14"/>
      <c r="O16" s="14" t="inlineStr">
        <is>
          <t xml:space="preserve">Not Required</t>
        </is>
      </c>
      <c r="P16" s="14" t="str">
        <f>IFERROR(VLOOKUP($C16,'Test Library'!$A:$P,14,FALSE),"")</f>
        <v>Yes</v>
      </c>
      <c r="Q16" s="14"/>
    </row>
    <row r="17">
      <c r="A17" s="14" t="inlineStr">
        <is>
          <t xml:space="preserve">BETARUN-0016</t>
        </is>
      </c>
      <c r="B17" s="14" t="inlineStr">
        <is>
          <t xml:space="preserve">Beta Release</t>
        </is>
      </c>
      <c r="C17" s="14" t="inlineStr">
        <is>
          <t xml:space="preserve">RR-0016</t>
        </is>
      </c>
      <c r="D17" s="14" t="str">
        <f>IFERROR(VLOOKUP($C17,'Test Library'!$A:$P,2,FALSE),"")</f>
        <v>Authentication &amp; Accounts</v>
      </c>
      <c r="E17" s="14" t="str">
        <f>IFERROR(VLOOKUP($C17,'Test Library'!$A:$P,3,FALSE),"")</f>
        <v>Sign-in, sessions and recovery</v>
      </c>
      <c r="F17" s="14" t="str">
        <f>IFERROR(VLOOKUP($C17,'Test Library'!$A:$P,5,FALSE),"")</f>
        <v>Change password while signed in</v>
      </c>
      <c r="G17" s="14" t="str">
        <f>IFERROR(VLOOKUP($C17,'Test Library'!$A:$P,6,FALSE),"")</f>
        <v>High</v>
      </c>
      <c r="H17" s="14" t="inlineStr">
        <is>
          <t xml:space="preserve">Staging</t>
        </is>
      </c>
      <c r="I17" s="14" t="inlineStr">
        <is>
          <t xml:space="preserve">Not Run</t>
        </is>
      </c>
      <c r="J17" s="14"/>
      <c r="K17" s="17"/>
      <c r="L17" s="14"/>
      <c r="M17" s="14"/>
      <c r="N17" s="14"/>
      <c r="O17" s="14" t="inlineStr">
        <is>
          <t xml:space="preserve">Not Required</t>
        </is>
      </c>
      <c r="P17" s="14" t="str">
        <f>IFERROR(VLOOKUP($C17,'Test Library'!$A:$P,14,FALSE),"")</f>
        <v>Yes</v>
      </c>
      <c r="Q17" s="14"/>
    </row>
    <row r="18">
      <c r="A18" s="14" t="inlineStr">
        <is>
          <t xml:space="preserve">BETARUN-0017</t>
        </is>
      </c>
      <c r="B18" s="14" t="inlineStr">
        <is>
          <t xml:space="preserve">Beta Release</t>
        </is>
      </c>
      <c r="C18" s="14" t="inlineStr">
        <is>
          <t xml:space="preserve">RR-0017</t>
        </is>
      </c>
      <c r="D18" s="14" t="str">
        <f>IFERROR(VLOOKUP($C18,'Test Library'!$A:$P,2,FALSE),"")</f>
        <v>Authentication &amp; Accounts</v>
      </c>
      <c r="E18" s="14" t="str">
        <f>IFERROR(VLOOKUP($C18,'Test Library'!$A:$P,3,FALSE),"")</f>
        <v>Sign-in, sessions and recovery</v>
      </c>
      <c r="F18" s="14" t="str">
        <f>IFERROR(VLOOKUP($C18,'Test Library'!$A:$P,5,FALSE),"")</f>
        <v>Log out</v>
      </c>
      <c r="G18" s="14" t="str">
        <f>IFERROR(VLOOKUP($C18,'Test Library'!$A:$P,6,FALSE),"")</f>
        <v>Critical</v>
      </c>
      <c r="H18" s="14" t="inlineStr">
        <is>
          <t xml:space="preserve">Staging</t>
        </is>
      </c>
      <c r="I18" s="14" t="inlineStr">
        <is>
          <t xml:space="preserve">Not Run</t>
        </is>
      </c>
      <c r="J18" s="14"/>
      <c r="K18" s="17"/>
      <c r="L18" s="14"/>
      <c r="M18" s="14"/>
      <c r="N18" s="14"/>
      <c r="O18" s="14" t="inlineStr">
        <is>
          <t xml:space="preserve">Not Required</t>
        </is>
      </c>
      <c r="P18" s="14" t="str">
        <f>IFERROR(VLOOKUP($C18,'Test Library'!$A:$P,14,FALSE),"")</f>
        <v>Yes</v>
      </c>
      <c r="Q18" s="14"/>
    </row>
    <row r="19">
      <c r="A19" s="14" t="inlineStr">
        <is>
          <t xml:space="preserve">BETARUN-0018</t>
        </is>
      </c>
      <c r="B19" s="14" t="inlineStr">
        <is>
          <t xml:space="preserve">Beta Release</t>
        </is>
      </c>
      <c r="C19" s="14" t="inlineStr">
        <is>
          <t xml:space="preserve">RR-0018</t>
        </is>
      </c>
      <c r="D19" s="14" t="str">
        <f>IFERROR(VLOOKUP($C19,'Test Library'!$A:$P,2,FALSE),"")</f>
        <v>Authentication &amp; Accounts</v>
      </c>
      <c r="E19" s="14" t="str">
        <f>IFERROR(VLOOKUP($C19,'Test Library'!$A:$P,3,FALSE),"")</f>
        <v>Sign-in, sessions and recovery</v>
      </c>
      <c r="F19" s="14" t="str">
        <f>IFERROR(VLOOKUP($C19,'Test Library'!$A:$P,5,FALSE),"")</f>
        <v>Attempt to access a protected route after session expiry</v>
      </c>
      <c r="G19" s="14" t="str">
        <f>IFERROR(VLOOKUP($C19,'Test Library'!$A:$P,6,FALSE),"")</f>
        <v>High</v>
      </c>
      <c r="H19" s="14" t="inlineStr">
        <is>
          <t xml:space="preserve">Staging</t>
        </is>
      </c>
      <c r="I19" s="14" t="inlineStr">
        <is>
          <t xml:space="preserve">Not Run</t>
        </is>
      </c>
      <c r="J19" s="14"/>
      <c r="K19" s="17"/>
      <c r="L19" s="14"/>
      <c r="M19" s="14"/>
      <c r="N19" s="14"/>
      <c r="O19" s="14" t="inlineStr">
        <is>
          <t xml:space="preserve">Not Required</t>
        </is>
      </c>
      <c r="P19" s="14" t="str">
        <f>IFERROR(VLOOKUP($C19,'Test Library'!$A:$P,14,FALSE),"")</f>
        <v>Yes</v>
      </c>
      <c r="Q19" s="14"/>
    </row>
    <row r="20">
      <c r="A20" s="14" t="inlineStr">
        <is>
          <t xml:space="preserve">BETARUN-0019</t>
        </is>
      </c>
      <c r="B20" s="14" t="inlineStr">
        <is>
          <t xml:space="preserve">Beta Release</t>
        </is>
      </c>
      <c r="C20" s="14" t="inlineStr">
        <is>
          <t xml:space="preserve">RR-0019</t>
        </is>
      </c>
      <c r="D20" s="14" t="str">
        <f>IFERROR(VLOOKUP($C20,'Test Library'!$A:$P,2,FALSE),"")</f>
        <v>Onboarding</v>
      </c>
      <c r="E20" s="14" t="str">
        <f>IFERROR(VLOOKUP($C20,'Test Library'!$A:$P,3,FALSE),"")</f>
        <v>Organisation setup flow</v>
      </c>
      <c r="F20" s="14" t="str">
        <f>IFERROR(VLOOKUP($C20,'Test Library'!$A:$P,5,FALSE),"")</f>
        <v>Complete the single-workplace onboarding path</v>
      </c>
      <c r="G20" s="14" t="str">
        <f>IFERROR(VLOOKUP($C20,'Test Library'!$A:$P,6,FALSE),"")</f>
        <v>Critical</v>
      </c>
      <c r="H20" s="14" t="inlineStr">
        <is>
          <t xml:space="preserve">Staging</t>
        </is>
      </c>
      <c r="I20" s="14" t="inlineStr">
        <is>
          <t xml:space="preserve">Not Run</t>
        </is>
      </c>
      <c r="J20" s="14"/>
      <c r="K20" s="17"/>
      <c r="L20" s="14"/>
      <c r="M20" s="14"/>
      <c r="N20" s="14"/>
      <c r="O20" s="14" t="inlineStr">
        <is>
          <t xml:space="preserve">Not Required</t>
        </is>
      </c>
      <c r="P20" s="14" t="str">
        <f>IFERROR(VLOOKUP($C20,'Test Library'!$A:$P,14,FALSE),"")</f>
        <v>Yes</v>
      </c>
      <c r="Q20" s="14"/>
    </row>
    <row r="21">
      <c r="A21" s="14" t="inlineStr">
        <is>
          <t xml:space="preserve">BETARUN-0020</t>
        </is>
      </c>
      <c r="B21" s="14" t="inlineStr">
        <is>
          <t xml:space="preserve">Beta Release</t>
        </is>
      </c>
      <c r="C21" s="14" t="inlineStr">
        <is>
          <t xml:space="preserve">RR-0020</t>
        </is>
      </c>
      <c r="D21" s="14" t="str">
        <f>IFERROR(VLOOKUP($C21,'Test Library'!$A:$P,2,FALSE),"")</f>
        <v>Onboarding</v>
      </c>
      <c r="E21" s="14" t="str">
        <f>IFERROR(VLOOKUP($C21,'Test Library'!$A:$P,3,FALSE),"")</f>
        <v>Organisation setup flow</v>
      </c>
      <c r="F21" s="14" t="str">
        <f>IFERROR(VLOOKUP($C21,'Test Library'!$A:$P,5,FALSE),"")</f>
        <v>Choose the multiple-workplaces path</v>
      </c>
      <c r="G21" s="14" t="str">
        <f>IFERROR(VLOOKUP($C21,'Test Library'!$A:$P,6,FALSE),"")</f>
        <v>High</v>
      </c>
      <c r="H21" s="14" t="inlineStr">
        <is>
          <t xml:space="preserve">Staging</t>
        </is>
      </c>
      <c r="I21" s="14" t="inlineStr">
        <is>
          <t xml:space="preserve">Not Run</t>
        </is>
      </c>
      <c r="J21" s="14"/>
      <c r="K21" s="17"/>
      <c r="L21" s="14"/>
      <c r="M21" s="14"/>
      <c r="N21" s="14"/>
      <c r="O21" s="14" t="inlineStr">
        <is>
          <t xml:space="preserve">Not Required</t>
        </is>
      </c>
      <c r="P21" s="14" t="str">
        <f>IFERROR(VLOOKUP($C21,'Test Library'!$A:$P,14,FALSE),"")</f>
        <v>Yes</v>
      </c>
      <c r="Q21" s="14"/>
    </row>
    <row r="22">
      <c r="A22" s="14" t="inlineStr">
        <is>
          <t xml:space="preserve">BETARUN-0021</t>
        </is>
      </c>
      <c r="B22" s="14" t="inlineStr">
        <is>
          <t xml:space="preserve">Beta Release</t>
        </is>
      </c>
      <c r="C22" s="14" t="inlineStr">
        <is>
          <t xml:space="preserve">RR-0021</t>
        </is>
      </c>
      <c r="D22" s="14" t="str">
        <f>IFERROR(VLOOKUP($C22,'Test Library'!$A:$P,2,FALSE),"")</f>
        <v>Onboarding</v>
      </c>
      <c r="E22" s="14" t="str">
        <f>IFERROR(VLOOKUP($C22,'Test Library'!$A:$P,3,FALSE),"")</f>
        <v>Organisation setup flow</v>
      </c>
      <c r="F22" s="14" t="str">
        <f>IFERROR(VLOOKUP($C22,'Test Library'!$A:$P,5,FALSE),"")</f>
        <v>Leave a required field empty</v>
      </c>
      <c r="G22" s="14" t="str">
        <f>IFERROR(VLOOKUP($C22,'Test Library'!$A:$P,6,FALSE),"")</f>
        <v>High</v>
      </c>
      <c r="H22" s="14" t="inlineStr">
        <is>
          <t xml:space="preserve">Staging</t>
        </is>
      </c>
      <c r="I22" s="14" t="inlineStr">
        <is>
          <t xml:space="preserve">Not Run</t>
        </is>
      </c>
      <c r="J22" s="14"/>
      <c r="K22" s="17"/>
      <c r="L22" s="14"/>
      <c r="M22" s="14"/>
      <c r="N22" s="14"/>
      <c r="O22" s="14" t="inlineStr">
        <is>
          <t xml:space="preserve">Not Required</t>
        </is>
      </c>
      <c r="P22" s="14" t="str">
        <f>IFERROR(VLOOKUP($C22,'Test Library'!$A:$P,14,FALSE),"")</f>
        <v>Yes</v>
      </c>
      <c r="Q22" s="14"/>
    </row>
    <row r="23">
      <c r="A23" s="14" t="inlineStr">
        <is>
          <t xml:space="preserve">BETARUN-0022</t>
        </is>
      </c>
      <c r="B23" s="14" t="inlineStr">
        <is>
          <t xml:space="preserve">Beta Release</t>
        </is>
      </c>
      <c r="C23" s="14" t="inlineStr">
        <is>
          <t xml:space="preserve">RR-0022</t>
        </is>
      </c>
      <c r="D23" s="14" t="str">
        <f>IFERROR(VLOOKUP($C23,'Test Library'!$A:$P,2,FALSE),"")</f>
        <v>Onboarding</v>
      </c>
      <c r="E23" s="14" t="str">
        <f>IFERROR(VLOOKUP($C23,'Test Library'!$A:$P,3,FALSE),"")</f>
        <v>Organisation setup flow</v>
      </c>
      <c r="F23" s="14" t="str">
        <f>IFERROR(VLOOKUP($C23,'Test Library'!$A:$P,5,FALSE),"")</f>
        <v>Use a duplicate organisation or location slug</v>
      </c>
      <c r="G23" s="14" t="str">
        <f>IFERROR(VLOOKUP($C23,'Test Library'!$A:$P,6,FALSE),"")</f>
        <v>High</v>
      </c>
      <c r="H23" s="14" t="inlineStr">
        <is>
          <t xml:space="preserve">Staging</t>
        </is>
      </c>
      <c r="I23" s="14" t="inlineStr">
        <is>
          <t xml:space="preserve">Not Run</t>
        </is>
      </c>
      <c r="J23" s="14"/>
      <c r="K23" s="17"/>
      <c r="L23" s="14"/>
      <c r="M23" s="14"/>
      <c r="N23" s="14"/>
      <c r="O23" s="14" t="inlineStr">
        <is>
          <t xml:space="preserve">Not Required</t>
        </is>
      </c>
      <c r="P23" s="14" t="str">
        <f>IFERROR(VLOOKUP($C23,'Test Library'!$A:$P,14,FALSE),"")</f>
        <v>Yes</v>
      </c>
      <c r="Q23" s="14"/>
    </row>
    <row r="24">
      <c r="A24" s="14" t="inlineStr">
        <is>
          <t xml:space="preserve">BETARUN-0023</t>
        </is>
      </c>
      <c r="B24" s="14" t="inlineStr">
        <is>
          <t xml:space="preserve">Beta Release</t>
        </is>
      </c>
      <c r="C24" s="14" t="inlineStr">
        <is>
          <t xml:space="preserve">RR-0023</t>
        </is>
      </c>
      <c r="D24" s="14" t="str">
        <f>IFERROR(VLOOKUP($C24,'Test Library'!$A:$P,2,FALSE),"")</f>
        <v>Onboarding</v>
      </c>
      <c r="E24" s="14" t="str">
        <f>IFERROR(VLOOKUP($C24,'Test Library'!$A:$P,3,FALSE),"")</f>
        <v>Organisation setup flow</v>
      </c>
      <c r="F24" s="14" t="str">
        <f>IFERROR(VLOOKUP($C24,'Test Library'!$A:$P,5,FALSE),"")</f>
        <v>Navigate back and forward between steps</v>
      </c>
      <c r="G24" s="14" t="str">
        <f>IFERROR(VLOOKUP($C24,'Test Library'!$A:$P,6,FALSE),"")</f>
        <v>Medium</v>
      </c>
      <c r="H24" s="14" t="inlineStr">
        <is>
          <t xml:space="preserve">Staging</t>
        </is>
      </c>
      <c r="I24" s="14" t="inlineStr">
        <is>
          <t xml:space="preserve">Not Run</t>
        </is>
      </c>
      <c r="J24" s="14"/>
      <c r="K24" s="17"/>
      <c r="L24" s="14"/>
      <c r="M24" s="14"/>
      <c r="N24" s="14"/>
      <c r="O24" s="14" t="inlineStr">
        <is>
          <t xml:space="preserve">Not Required</t>
        </is>
      </c>
      <c r="P24" s="14" t="str">
        <f>IFERROR(VLOOKUP($C24,'Test Library'!$A:$P,14,FALSE),"")</f>
        <v>No</v>
      </c>
      <c r="Q24" s="14"/>
    </row>
    <row r="25">
      <c r="A25" s="14" t="inlineStr">
        <is>
          <t xml:space="preserve">BETARUN-0024</t>
        </is>
      </c>
      <c r="B25" s="14" t="inlineStr">
        <is>
          <t xml:space="preserve">Beta Release</t>
        </is>
      </c>
      <c r="C25" s="14" t="inlineStr">
        <is>
          <t xml:space="preserve">RR-0024</t>
        </is>
      </c>
      <c r="D25" s="14" t="str">
        <f>IFERROR(VLOOKUP($C25,'Test Library'!$A:$P,2,FALSE),"")</f>
        <v>Onboarding</v>
      </c>
      <c r="E25" s="14" t="str">
        <f>IFERROR(VLOOKUP($C25,'Test Library'!$A:$P,3,FALSE),"")</f>
        <v>Organisation setup flow</v>
      </c>
      <c r="F25" s="14" t="str">
        <f>IFERROR(VLOOKUP($C25,'Test Library'!$A:$P,5,FALSE),"")</f>
        <v>Refresh the browser mid-onboarding</v>
      </c>
      <c r="G25" s="14" t="str">
        <f>IFERROR(VLOOKUP($C25,'Test Library'!$A:$P,6,FALSE),"")</f>
        <v>High</v>
      </c>
      <c r="H25" s="14" t="inlineStr">
        <is>
          <t xml:space="preserve">Staging</t>
        </is>
      </c>
      <c r="I25" s="14" t="inlineStr">
        <is>
          <t xml:space="preserve">Not Run</t>
        </is>
      </c>
      <c r="J25" s="14"/>
      <c r="K25" s="17"/>
      <c r="L25" s="14"/>
      <c r="M25" s="14"/>
      <c r="N25" s="14"/>
      <c r="O25" s="14" t="inlineStr">
        <is>
          <t xml:space="preserve">Not Required</t>
        </is>
      </c>
      <c r="P25" s="14" t="str">
        <f>IFERROR(VLOOKUP($C25,'Test Library'!$A:$P,14,FALSE),"")</f>
        <v>Yes</v>
      </c>
      <c r="Q25" s="14"/>
    </row>
    <row r="26">
      <c r="A26" s="14" t="inlineStr">
        <is>
          <t xml:space="preserve">BETARUN-0025</t>
        </is>
      </c>
      <c r="B26" s="14" t="inlineStr">
        <is>
          <t xml:space="preserve">Beta Release</t>
        </is>
      </c>
      <c r="C26" s="14" t="inlineStr">
        <is>
          <t xml:space="preserve">RR-0025</t>
        </is>
      </c>
      <c r="D26" s="14" t="str">
        <f>IFERROR(VLOOKUP($C26,'Test Library'!$A:$P,2,FALSE),"")</f>
        <v>Onboarding</v>
      </c>
      <c r="E26" s="14" t="str">
        <f>IFERROR(VLOOKUP($C26,'Test Library'!$A:$P,3,FALSE),"")</f>
        <v>Organisation setup flow</v>
      </c>
      <c r="F26" s="14" t="str">
        <f>IFERROR(VLOOKUP($C26,'Test Library'!$A:$P,5,FALSE),"")</f>
        <v>Close and return to an incomplete onboarding flow</v>
      </c>
      <c r="G26" s="14" t="str">
        <f>IFERROR(VLOOKUP($C26,'Test Library'!$A:$P,6,FALSE),"")</f>
        <v>High</v>
      </c>
      <c r="H26" s="14" t="inlineStr">
        <is>
          <t xml:space="preserve">Staging</t>
        </is>
      </c>
      <c r="I26" s="14" t="inlineStr">
        <is>
          <t xml:space="preserve">Not Run</t>
        </is>
      </c>
      <c r="J26" s="14"/>
      <c r="K26" s="17"/>
      <c r="L26" s="14"/>
      <c r="M26" s="14"/>
      <c r="N26" s="14"/>
      <c r="O26" s="14" t="inlineStr">
        <is>
          <t xml:space="preserve">Not Required</t>
        </is>
      </c>
      <c r="P26" s="14" t="str">
        <f>IFERROR(VLOOKUP($C26,'Test Library'!$A:$P,14,FALSE),"")</f>
        <v>Yes</v>
      </c>
      <c r="Q26" s="14"/>
    </row>
    <row r="27">
      <c r="A27" s="14" t="inlineStr">
        <is>
          <t xml:space="preserve">BETARUN-0026</t>
        </is>
      </c>
      <c r="B27" s="14" t="inlineStr">
        <is>
          <t xml:space="preserve">Beta Release</t>
        </is>
      </c>
      <c r="C27" s="14" t="inlineStr">
        <is>
          <t xml:space="preserve">RR-0026</t>
        </is>
      </c>
      <c r="D27" s="14" t="str">
        <f>IFERROR(VLOOKUP($C27,'Test Library'!$A:$P,2,FALSE),"")</f>
        <v>Onboarding</v>
      </c>
      <c r="E27" s="14" t="str">
        <f>IFERROR(VLOOKUP($C27,'Test Library'!$A:$P,3,FALSE),"")</f>
        <v>Organisation setup flow</v>
      </c>
      <c r="F27" s="14" t="str">
        <f>IFERROR(VLOOKUP($C27,'Test Library'!$A:$P,5,FALSE),"")</f>
        <v>Create the first zone during onboarding</v>
      </c>
      <c r="G27" s="14" t="str">
        <f>IFERROR(VLOOKUP($C27,'Test Library'!$A:$P,6,FALSE),"")</f>
        <v>Critical</v>
      </c>
      <c r="H27" s="14" t="inlineStr">
        <is>
          <t xml:space="preserve">Staging</t>
        </is>
      </c>
      <c r="I27" s="14" t="inlineStr">
        <is>
          <t xml:space="preserve">Not Run</t>
        </is>
      </c>
      <c r="J27" s="14"/>
      <c r="K27" s="17"/>
      <c r="L27" s="14"/>
      <c r="M27" s="14"/>
      <c r="N27" s="14"/>
      <c r="O27" s="14" t="inlineStr">
        <is>
          <t xml:space="preserve">Not Required</t>
        </is>
      </c>
      <c r="P27" s="14" t="str">
        <f>IFERROR(VLOOKUP($C27,'Test Library'!$A:$P,14,FALSE),"")</f>
        <v>Yes</v>
      </c>
      <c r="Q27" s="14"/>
    </row>
    <row r="28">
      <c r="A28" s="14" t="inlineStr">
        <is>
          <t xml:space="preserve">BETARUN-0027</t>
        </is>
      </c>
      <c r="B28" s="14" t="inlineStr">
        <is>
          <t xml:space="preserve">Beta Release</t>
        </is>
      </c>
      <c r="C28" s="14" t="inlineStr">
        <is>
          <t xml:space="preserve">RR-0027</t>
        </is>
      </c>
      <c r="D28" s="14" t="str">
        <f>IFERROR(VLOOKUP($C28,'Test Library'!$A:$P,2,FALSE),"")</f>
        <v>Onboarding</v>
      </c>
      <c r="E28" s="14" t="str">
        <f>IFERROR(VLOOKUP($C28,'Test Library'!$A:$P,3,FALSE),"")</f>
        <v>Organisation setup flow</v>
      </c>
      <c r="F28" s="14" t="str">
        <f>IFERROR(VLOOKUP($C28,'Test Library'!$A:$P,5,FALSE),"")</f>
        <v>Skip optional invitations</v>
      </c>
      <c r="G28" s="14" t="str">
        <f>IFERROR(VLOOKUP($C28,'Test Library'!$A:$P,6,FALSE),"")</f>
        <v>Medium</v>
      </c>
      <c r="H28" s="14" t="inlineStr">
        <is>
          <t xml:space="preserve">Staging</t>
        </is>
      </c>
      <c r="I28" s="14" t="inlineStr">
        <is>
          <t xml:space="preserve">Not Run</t>
        </is>
      </c>
      <c r="J28" s="14"/>
      <c r="K28" s="17"/>
      <c r="L28" s="14"/>
      <c r="M28" s="14"/>
      <c r="N28" s="14"/>
      <c r="O28" s="14" t="inlineStr">
        <is>
          <t xml:space="preserve">Not Required</t>
        </is>
      </c>
      <c r="P28" s="14" t="str">
        <f>IFERROR(VLOOKUP($C28,'Test Library'!$A:$P,14,FALSE),"")</f>
        <v>No</v>
      </c>
      <c r="Q28" s="14"/>
    </row>
    <row r="29">
      <c r="A29" s="14" t="inlineStr">
        <is>
          <t xml:space="preserve">BETARUN-0028</t>
        </is>
      </c>
      <c r="B29" s="14" t="inlineStr">
        <is>
          <t xml:space="preserve">Beta Release</t>
        </is>
      </c>
      <c r="C29" s="14" t="inlineStr">
        <is>
          <t xml:space="preserve">RR-0028</t>
        </is>
      </c>
      <c r="D29" s="14" t="str">
        <f>IFERROR(VLOOKUP($C29,'Test Library'!$A:$P,2,FALSE),"")</f>
        <v>Onboarding</v>
      </c>
      <c r="E29" s="14" t="str">
        <f>IFERROR(VLOOKUP($C29,'Test Library'!$A:$P,3,FALSE),"")</f>
        <v>Organisation setup flow</v>
      </c>
      <c r="F29" s="14" t="str">
        <f>IFERROR(VLOOKUP($C29,'Test Library'!$A:$P,5,FALSE),"")</f>
        <v>Invite employees during onboarding</v>
      </c>
      <c r="G29" s="14" t="str">
        <f>IFERROR(VLOOKUP($C29,'Test Library'!$A:$P,6,FALSE),"")</f>
        <v>High</v>
      </c>
      <c r="H29" s="14" t="inlineStr">
        <is>
          <t xml:space="preserve">Staging</t>
        </is>
      </c>
      <c r="I29" s="14" t="inlineStr">
        <is>
          <t xml:space="preserve">Not Run</t>
        </is>
      </c>
      <c r="J29" s="14"/>
      <c r="K29" s="17"/>
      <c r="L29" s="14"/>
      <c r="M29" s="14"/>
      <c r="N29" s="14"/>
      <c r="O29" s="14" t="inlineStr">
        <is>
          <t xml:space="preserve">Not Required</t>
        </is>
      </c>
      <c r="P29" s="14" t="str">
        <f>IFERROR(VLOOKUP($C29,'Test Library'!$A:$P,14,FALSE),"")</f>
        <v>Yes</v>
      </c>
      <c r="Q29" s="14"/>
    </row>
    <row r="30">
      <c r="A30" s="14" t="inlineStr">
        <is>
          <t xml:space="preserve">BETARUN-0029</t>
        </is>
      </c>
      <c r="B30" s="14" t="inlineStr">
        <is>
          <t xml:space="preserve">Beta Release</t>
        </is>
      </c>
      <c r="C30" s="14" t="inlineStr">
        <is>
          <t xml:space="preserve">RR-0029</t>
        </is>
      </c>
      <c r="D30" s="14" t="str">
        <f>IFERROR(VLOOKUP($C30,'Test Library'!$A:$P,2,FALSE),"")</f>
        <v>Onboarding</v>
      </c>
      <c r="E30" s="14" t="str">
        <f>IFERROR(VLOOKUP($C30,'Test Library'!$A:$P,3,FALSE),"")</f>
        <v>Organisation setup flow</v>
      </c>
      <c r="F30" s="14" t="str">
        <f>IFERROR(VLOOKUP($C30,'Test Library'!$A:$P,5,FALSE),"")</f>
        <v>Encounter a server error during final creation</v>
      </c>
      <c r="G30" s="14" t="str">
        <f>IFERROR(VLOOKUP($C30,'Test Library'!$A:$P,6,FALSE),"")</f>
        <v>Critical</v>
      </c>
      <c r="H30" s="14" t="inlineStr">
        <is>
          <t xml:space="preserve">Staging</t>
        </is>
      </c>
      <c r="I30" s="14" t="inlineStr">
        <is>
          <t xml:space="preserve">Not Run</t>
        </is>
      </c>
      <c r="J30" s="14"/>
      <c r="K30" s="17"/>
      <c r="L30" s="14"/>
      <c r="M30" s="14"/>
      <c r="N30" s="14"/>
      <c r="O30" s="14" t="inlineStr">
        <is>
          <t xml:space="preserve">Not Required</t>
        </is>
      </c>
      <c r="P30" s="14" t="str">
        <f>IFERROR(VLOOKUP($C30,'Test Library'!$A:$P,14,FALSE),"")</f>
        <v>Yes</v>
      </c>
      <c r="Q30" s="14"/>
    </row>
    <row r="31">
      <c r="A31" s="14" t="inlineStr">
        <is>
          <t xml:space="preserve">BETARUN-0030</t>
        </is>
      </c>
      <c r="B31" s="14" t="inlineStr">
        <is>
          <t xml:space="preserve">Beta Release</t>
        </is>
      </c>
      <c r="C31" s="14" t="inlineStr">
        <is>
          <t xml:space="preserve">RR-0030</t>
        </is>
      </c>
      <c r="D31" s="14" t="str">
        <f>IFERROR(VLOOKUP($C31,'Test Library'!$A:$P,2,FALSE),"")</f>
        <v>Onboarding</v>
      </c>
      <c r="E31" s="14" t="str">
        <f>IFERROR(VLOOKUP($C31,'Test Library'!$A:$P,3,FALSE),"")</f>
        <v>Organisation setup flow</v>
      </c>
      <c r="F31" s="14" t="str">
        <f>IFERROR(VLOOKUP($C31,'Test Library'!$A:$P,5,FALSE),"")</f>
        <v>Complete onboarding on a narrow mobile viewport</v>
      </c>
      <c r="G31" s="14" t="str">
        <f>IFERROR(VLOOKUP($C31,'Test Library'!$A:$P,6,FALSE),"")</f>
        <v>High</v>
      </c>
      <c r="H31" s="14" t="inlineStr">
        <is>
          <t xml:space="preserve">Staging</t>
        </is>
      </c>
      <c r="I31" s="14" t="inlineStr">
        <is>
          <t xml:space="preserve">Not Run</t>
        </is>
      </c>
      <c r="J31" s="14"/>
      <c r="K31" s="17"/>
      <c r="L31" s="14"/>
      <c r="M31" s="14"/>
      <c r="N31" s="14"/>
      <c r="O31" s="14" t="inlineStr">
        <is>
          <t xml:space="preserve">Not Required</t>
        </is>
      </c>
      <c r="P31" s="14" t="str">
        <f>IFERROR(VLOOKUP($C31,'Test Library'!$A:$P,14,FALSE),"")</f>
        <v>Yes</v>
      </c>
      <c r="Q31" s="14"/>
    </row>
    <row r="32">
      <c r="A32" s="14" t="inlineStr">
        <is>
          <t xml:space="preserve">BETARUN-0031</t>
        </is>
      </c>
      <c r="B32" s="14" t="inlineStr">
        <is>
          <t xml:space="preserve">Beta Release</t>
        </is>
      </c>
      <c r="C32" s="14" t="inlineStr">
        <is>
          <t xml:space="preserve">RR-0031</t>
        </is>
      </c>
      <c r="D32" s="14" t="str">
        <f>IFERROR(VLOOKUP($C32,'Test Library'!$A:$P,2,FALSE),"")</f>
        <v>Organisations, Locations &amp; Zones</v>
      </c>
      <c r="E32" s="14" t="str">
        <f>IFERROR(VLOOKUP($C32,'Test Library'!$A:$P,3,FALSE),"")</f>
        <v>Organisation and location management</v>
      </c>
      <c r="F32" s="14" t="str">
        <f>IFERROR(VLOOKUP($C32,'Test Library'!$A:$P,5,FALSE),"")</f>
        <v>Create a second location</v>
      </c>
      <c r="G32" s="14" t="str">
        <f>IFERROR(VLOOKUP($C32,'Test Library'!$A:$P,6,FALSE),"")</f>
        <v>Critical</v>
      </c>
      <c r="H32" s="14" t="inlineStr">
        <is>
          <t xml:space="preserve">Staging</t>
        </is>
      </c>
      <c r="I32" s="14" t="inlineStr">
        <is>
          <t xml:space="preserve">Not Run</t>
        </is>
      </c>
      <c r="J32" s="14"/>
      <c r="K32" s="17"/>
      <c r="L32" s="14"/>
      <c r="M32" s="14"/>
      <c r="N32" s="14"/>
      <c r="O32" s="14" t="inlineStr">
        <is>
          <t xml:space="preserve">Not Required</t>
        </is>
      </c>
      <c r="P32" s="14" t="str">
        <f>IFERROR(VLOOKUP($C32,'Test Library'!$A:$P,14,FALSE),"")</f>
        <v>Yes</v>
      </c>
      <c r="Q32" s="14"/>
    </row>
    <row r="33">
      <c r="A33" s="14" t="inlineStr">
        <is>
          <t xml:space="preserve">BETARUN-0032</t>
        </is>
      </c>
      <c r="B33" s="14" t="inlineStr">
        <is>
          <t xml:space="preserve">Beta Release</t>
        </is>
      </c>
      <c r="C33" s="14" t="inlineStr">
        <is>
          <t xml:space="preserve">RR-0032</t>
        </is>
      </c>
      <c r="D33" s="14" t="str">
        <f>IFERROR(VLOOKUP($C33,'Test Library'!$A:$P,2,FALSE),"")</f>
        <v>Organisations, Locations &amp; Zones</v>
      </c>
      <c r="E33" s="14" t="str">
        <f>IFERROR(VLOOKUP($C33,'Test Library'!$A:$P,3,FALSE),"")</f>
        <v>Organisation and location management</v>
      </c>
      <c r="F33" s="14" t="str">
        <f>IFERROR(VLOOKUP($C33,'Test Library'!$A:$P,5,FALSE),"")</f>
        <v>Edit organisation name and contact details</v>
      </c>
      <c r="G33" s="14" t="str">
        <f>IFERROR(VLOOKUP($C33,'Test Library'!$A:$P,6,FALSE),"")</f>
        <v>Medium</v>
      </c>
      <c r="H33" s="14" t="inlineStr">
        <is>
          <t xml:space="preserve">Staging</t>
        </is>
      </c>
      <c r="I33" s="14" t="inlineStr">
        <is>
          <t xml:space="preserve">Not Run</t>
        </is>
      </c>
      <c r="J33" s="14"/>
      <c r="K33" s="17"/>
      <c r="L33" s="14"/>
      <c r="M33" s="14"/>
      <c r="N33" s="14"/>
      <c r="O33" s="14" t="inlineStr">
        <is>
          <t xml:space="preserve">Not Required</t>
        </is>
      </c>
      <c r="P33" s="14" t="str">
        <f>IFERROR(VLOOKUP($C33,'Test Library'!$A:$P,14,FALSE),"")</f>
        <v>No</v>
      </c>
      <c r="Q33" s="14"/>
    </row>
    <row r="34">
      <c r="A34" s="14" t="inlineStr">
        <is>
          <t xml:space="preserve">BETARUN-0033</t>
        </is>
      </c>
      <c r="B34" s="14" t="inlineStr">
        <is>
          <t xml:space="preserve">Beta Release</t>
        </is>
      </c>
      <c r="C34" s="14" t="inlineStr">
        <is>
          <t xml:space="preserve">RR-0033</t>
        </is>
      </c>
      <c r="D34" s="14" t="str">
        <f>IFERROR(VLOOKUP($C34,'Test Library'!$A:$P,2,FALSE),"")</f>
        <v>Organisations, Locations &amp; Zones</v>
      </c>
      <c r="E34" s="14" t="str">
        <f>IFERROR(VLOOKUP($C34,'Test Library'!$A:$P,3,FALSE),"")</f>
        <v>Organisation and location management</v>
      </c>
      <c r="F34" s="14" t="str">
        <f>IFERROR(VLOOKUP($C34,'Test Library'!$A:$P,5,FALSE),"")</f>
        <v>Edit location name, address and timezone</v>
      </c>
      <c r="G34" s="14" t="str">
        <f>IFERROR(VLOOKUP($C34,'Test Library'!$A:$P,6,FALSE),"")</f>
        <v>High</v>
      </c>
      <c r="H34" s="14" t="inlineStr">
        <is>
          <t xml:space="preserve">Staging</t>
        </is>
      </c>
      <c r="I34" s="14" t="inlineStr">
        <is>
          <t xml:space="preserve">Not Run</t>
        </is>
      </c>
      <c r="J34" s="14"/>
      <c r="K34" s="17"/>
      <c r="L34" s="14"/>
      <c r="M34" s="14"/>
      <c r="N34" s="14"/>
      <c r="O34" s="14" t="inlineStr">
        <is>
          <t xml:space="preserve">Not Required</t>
        </is>
      </c>
      <c r="P34" s="14" t="str">
        <f>IFERROR(VLOOKUP($C34,'Test Library'!$A:$P,14,FALSE),"")</f>
        <v>Yes</v>
      </c>
      <c r="Q34" s="14"/>
    </row>
    <row r="35">
      <c r="A35" s="14" t="inlineStr">
        <is>
          <t xml:space="preserve">BETARUN-0034</t>
        </is>
      </c>
      <c r="B35" s="14" t="inlineStr">
        <is>
          <t xml:space="preserve">Beta Release</t>
        </is>
      </c>
      <c r="C35" s="14" t="inlineStr">
        <is>
          <t xml:space="preserve">RR-0034</t>
        </is>
      </c>
      <c r="D35" s="14" t="str">
        <f>IFERROR(VLOOKUP($C35,'Test Library'!$A:$P,2,FALSE),"")</f>
        <v>Organisations, Locations &amp; Zones</v>
      </c>
      <c r="E35" s="14" t="str">
        <f>IFERROR(VLOOKUP($C35,'Test Library'!$A:$P,3,FALSE),"")</f>
        <v>Organisation and location management</v>
      </c>
      <c r="F35" s="14" t="str">
        <f>IFERROR(VLOOKUP($C35,'Test Library'!$A:$P,5,FALSE),"")</f>
        <v>Create two locations with the same display name</v>
      </c>
      <c r="G35" s="14" t="str">
        <f>IFERROR(VLOOKUP($C35,'Test Library'!$A:$P,6,FALSE),"")</f>
        <v>Medium</v>
      </c>
      <c r="H35" s="14" t="inlineStr">
        <is>
          <t xml:space="preserve">Staging</t>
        </is>
      </c>
      <c r="I35" s="14" t="inlineStr">
        <is>
          <t xml:space="preserve">Not Run</t>
        </is>
      </c>
      <c r="J35" s="14"/>
      <c r="K35" s="17"/>
      <c r="L35" s="14"/>
      <c r="M35" s="14"/>
      <c r="N35" s="14"/>
      <c r="O35" s="14" t="inlineStr">
        <is>
          <t xml:space="preserve">Not Required</t>
        </is>
      </c>
      <c r="P35" s="14" t="str">
        <f>IFERROR(VLOOKUP($C35,'Test Library'!$A:$P,14,FALSE),"")</f>
        <v>No</v>
      </c>
      <c r="Q35" s="14"/>
    </row>
    <row r="36">
      <c r="A36" s="14" t="inlineStr">
        <is>
          <t xml:space="preserve">BETARUN-0035</t>
        </is>
      </c>
      <c r="B36" s="14" t="inlineStr">
        <is>
          <t xml:space="preserve">Beta Release</t>
        </is>
      </c>
      <c r="C36" s="14" t="inlineStr">
        <is>
          <t xml:space="preserve">RR-0035</t>
        </is>
      </c>
      <c r="D36" s="14" t="str">
        <f>IFERROR(VLOOKUP($C36,'Test Library'!$A:$P,2,FALSE),"")</f>
        <v>Organisations, Locations &amp; Zones</v>
      </c>
      <c r="E36" s="14" t="str">
        <f>IFERROR(VLOOKUP($C36,'Test Library'!$A:$P,3,FALSE),"")</f>
        <v>Organisation and location management</v>
      </c>
      <c r="F36" s="14" t="str">
        <f>IFERROR(VLOOKUP($C36,'Test Library'!$A:$P,5,FALSE),"")</f>
        <v>Archive a location with no future shifts</v>
      </c>
      <c r="G36" s="14" t="str">
        <f>IFERROR(VLOOKUP($C36,'Test Library'!$A:$P,6,FALSE),"")</f>
        <v>High</v>
      </c>
      <c r="H36" s="14" t="inlineStr">
        <is>
          <t xml:space="preserve">Staging</t>
        </is>
      </c>
      <c r="I36" s="14" t="inlineStr">
        <is>
          <t xml:space="preserve">Not Run</t>
        </is>
      </c>
      <c r="J36" s="14"/>
      <c r="K36" s="17"/>
      <c r="L36" s="14"/>
      <c r="M36" s="14"/>
      <c r="N36" s="14"/>
      <c r="O36" s="14" t="inlineStr">
        <is>
          <t xml:space="preserve">Not Required</t>
        </is>
      </c>
      <c r="P36" s="14" t="str">
        <f>IFERROR(VLOOKUP($C36,'Test Library'!$A:$P,14,FALSE),"")</f>
        <v>Yes</v>
      </c>
      <c r="Q36" s="14"/>
    </row>
    <row r="37">
      <c r="A37" s="14" t="inlineStr">
        <is>
          <t xml:space="preserve">BETARUN-0036</t>
        </is>
      </c>
      <c r="B37" s="14" t="inlineStr">
        <is>
          <t xml:space="preserve">Beta Release</t>
        </is>
      </c>
      <c r="C37" s="14" t="inlineStr">
        <is>
          <t xml:space="preserve">RR-0036</t>
        </is>
      </c>
      <c r="D37" s="14" t="str">
        <f>IFERROR(VLOOKUP($C37,'Test Library'!$A:$P,2,FALSE),"")</f>
        <v>Organisations, Locations &amp; Zones</v>
      </c>
      <c r="E37" s="14" t="str">
        <f>IFERROR(VLOOKUP($C37,'Test Library'!$A:$P,3,FALSE),"")</f>
        <v>Organisation and location management</v>
      </c>
      <c r="F37" s="14" t="str">
        <f>IFERROR(VLOOKUP($C37,'Test Library'!$A:$P,5,FALSE),"")</f>
        <v>Archive a location with future published shifts</v>
      </c>
      <c r="G37" s="14" t="str">
        <f>IFERROR(VLOOKUP($C37,'Test Library'!$A:$P,6,FALSE),"")</f>
        <v>Critical</v>
      </c>
      <c r="H37" s="14" t="inlineStr">
        <is>
          <t xml:space="preserve">Staging</t>
        </is>
      </c>
      <c r="I37" s="14" t="inlineStr">
        <is>
          <t xml:space="preserve">Not Run</t>
        </is>
      </c>
      <c r="J37" s="14"/>
      <c r="K37" s="17"/>
      <c r="L37" s="14"/>
      <c r="M37" s="14"/>
      <c r="N37" s="14"/>
      <c r="O37" s="14" t="inlineStr">
        <is>
          <t xml:space="preserve">Not Required</t>
        </is>
      </c>
      <c r="P37" s="14" t="str">
        <f>IFERROR(VLOOKUP($C37,'Test Library'!$A:$P,14,FALSE),"")</f>
        <v>Yes</v>
      </c>
      <c r="Q37" s="14"/>
    </row>
    <row r="38">
      <c r="A38" s="14" t="inlineStr">
        <is>
          <t xml:space="preserve">BETARUN-0037</t>
        </is>
      </c>
      <c r="B38" s="14" t="inlineStr">
        <is>
          <t xml:space="preserve">Beta Release</t>
        </is>
      </c>
      <c r="C38" s="14" t="inlineStr">
        <is>
          <t xml:space="preserve">RR-0037</t>
        </is>
      </c>
      <c r="D38" s="14" t="str">
        <f>IFERROR(VLOOKUP($C38,'Test Library'!$A:$P,2,FALSE),"")</f>
        <v>Organisations, Locations &amp; Zones</v>
      </c>
      <c r="E38" s="14" t="str">
        <f>IFERROR(VLOOKUP($C38,'Test Library'!$A:$P,3,FALSE),"")</f>
        <v>Organisation and location management</v>
      </c>
      <c r="F38" s="14" t="str">
        <f>IFERROR(VLOOKUP($C38,'Test Library'!$A:$P,5,FALSE),"")</f>
        <v>Reactivate an archived location</v>
      </c>
      <c r="G38" s="14" t="str">
        <f>IFERROR(VLOOKUP($C38,'Test Library'!$A:$P,6,FALSE),"")</f>
        <v>Medium</v>
      </c>
      <c r="H38" s="14" t="inlineStr">
        <is>
          <t xml:space="preserve">Staging</t>
        </is>
      </c>
      <c r="I38" s="14" t="inlineStr">
        <is>
          <t xml:space="preserve">Not Run</t>
        </is>
      </c>
      <c r="J38" s="14"/>
      <c r="K38" s="17"/>
      <c r="L38" s="14"/>
      <c r="M38" s="14"/>
      <c r="N38" s="14"/>
      <c r="O38" s="14" t="inlineStr">
        <is>
          <t xml:space="preserve">Not Required</t>
        </is>
      </c>
      <c r="P38" s="14" t="str">
        <f>IFERROR(VLOOKUP($C38,'Test Library'!$A:$P,14,FALSE),"")</f>
        <v>No</v>
      </c>
      <c r="Q38" s="14"/>
    </row>
    <row r="39">
      <c r="A39" s="14" t="inlineStr">
        <is>
          <t xml:space="preserve">BETARUN-0038</t>
        </is>
      </c>
      <c r="B39" s="14" t="inlineStr">
        <is>
          <t xml:space="preserve">Beta Release</t>
        </is>
      </c>
      <c r="C39" s="14" t="inlineStr">
        <is>
          <t xml:space="preserve">RR-0038</t>
        </is>
      </c>
      <c r="D39" s="14" t="str">
        <f>IFERROR(VLOOKUP($C39,'Test Library'!$A:$P,2,FALSE),"")</f>
        <v>Organisations, Locations &amp; Zones</v>
      </c>
      <c r="E39" s="14" t="str">
        <f>IFERROR(VLOOKUP($C39,'Test Library'!$A:$P,3,FALSE),"")</f>
        <v>Organisation and location management</v>
      </c>
      <c r="F39" s="14" t="str">
        <f>IFERROR(VLOOKUP($C39,'Test Library'!$A:$P,5,FALSE),"")</f>
        <v>Switch the active location from the global selector</v>
      </c>
      <c r="G39" s="14" t="str">
        <f>IFERROR(VLOOKUP($C39,'Test Library'!$A:$P,6,FALSE),"")</f>
        <v>Critical</v>
      </c>
      <c r="H39" s="14" t="inlineStr">
        <is>
          <t xml:space="preserve">Staging</t>
        </is>
      </c>
      <c r="I39" s="14" t="inlineStr">
        <is>
          <t xml:space="preserve">Not Run</t>
        </is>
      </c>
      <c r="J39" s="14"/>
      <c r="K39" s="17"/>
      <c r="L39" s="14"/>
      <c r="M39" s="14"/>
      <c r="N39" s="14"/>
      <c r="O39" s="14" t="inlineStr">
        <is>
          <t xml:space="preserve">Not Required</t>
        </is>
      </c>
      <c r="P39" s="14" t="str">
        <f>IFERROR(VLOOKUP($C39,'Test Library'!$A:$P,14,FALSE),"")</f>
        <v>Yes</v>
      </c>
      <c r="Q39" s="14"/>
    </row>
    <row r="40">
      <c r="A40" s="14" t="inlineStr">
        <is>
          <t xml:space="preserve">BETARUN-0039</t>
        </is>
      </c>
      <c r="B40" s="14" t="inlineStr">
        <is>
          <t xml:space="preserve">Beta Release</t>
        </is>
      </c>
      <c r="C40" s="14" t="inlineStr">
        <is>
          <t xml:space="preserve">RR-0039</t>
        </is>
      </c>
      <c r="D40" s="14" t="str">
        <f>IFERROR(VLOOKUP($C40,'Test Library'!$A:$P,2,FALSE),"")</f>
        <v>Organisations, Locations &amp; Zones</v>
      </c>
      <c r="E40" s="14" t="str">
        <f>IFERROR(VLOOKUP($C40,'Test Library'!$A:$P,3,FALSE),"")</f>
        <v>Organisation and location management</v>
      </c>
      <c r="F40" s="14" t="str">
        <f>IFERROR(VLOOKUP($C40,'Test Library'!$A:$P,5,FALSE),"")</f>
        <v>Open a bookmarked URL for a location the user cannot access</v>
      </c>
      <c r="G40" s="14" t="str">
        <f>IFERROR(VLOOKUP($C40,'Test Library'!$A:$P,6,FALSE),"")</f>
        <v>Critical</v>
      </c>
      <c r="H40" s="14" t="inlineStr">
        <is>
          <t xml:space="preserve">Staging</t>
        </is>
      </c>
      <c r="I40" s="14" t="inlineStr">
        <is>
          <t xml:space="preserve">Not Run</t>
        </is>
      </c>
      <c r="J40" s="14"/>
      <c r="K40" s="17"/>
      <c r="L40" s="14"/>
      <c r="M40" s="14"/>
      <c r="N40" s="14"/>
      <c r="O40" s="14" t="inlineStr">
        <is>
          <t xml:space="preserve">Not Required</t>
        </is>
      </c>
      <c r="P40" s="14" t="str">
        <f>IFERROR(VLOOKUP($C40,'Test Library'!$A:$P,14,FALSE),"")</f>
        <v>Yes</v>
      </c>
      <c r="Q40" s="14"/>
    </row>
    <row r="41">
      <c r="A41" s="14" t="inlineStr">
        <is>
          <t xml:space="preserve">BETARUN-0040</t>
        </is>
      </c>
      <c r="B41" s="14" t="inlineStr">
        <is>
          <t xml:space="preserve">Beta Release</t>
        </is>
      </c>
      <c r="C41" s="14" t="inlineStr">
        <is>
          <t xml:space="preserve">RR-0040</t>
        </is>
      </c>
      <c r="D41" s="14" t="str">
        <f>IFERROR(VLOOKUP($C41,'Test Library'!$A:$P,2,FALSE),"")</f>
        <v>Organisations, Locations &amp; Zones</v>
      </c>
      <c r="E41" s="14" t="str">
        <f>IFERROR(VLOOKUP($C41,'Test Library'!$A:$P,3,FALSE),"")</f>
        <v>Zone management</v>
      </c>
      <c r="F41" s="14" t="str">
        <f>IFERROR(VLOOKUP($C41,'Test Library'!$A:$P,5,FALSE),"")</f>
        <v>Create Bar, Floor and Management zones</v>
      </c>
      <c r="G41" s="14" t="str">
        <f>IFERROR(VLOOKUP($C41,'Test Library'!$A:$P,6,FALSE),"")</f>
        <v>Critical</v>
      </c>
      <c r="H41" s="14" t="inlineStr">
        <is>
          <t xml:space="preserve">Staging</t>
        </is>
      </c>
      <c r="I41" s="14" t="inlineStr">
        <is>
          <t xml:space="preserve">Not Run</t>
        </is>
      </c>
      <c r="J41" s="14"/>
      <c r="K41" s="17"/>
      <c r="L41" s="14"/>
      <c r="M41" s="14"/>
      <c r="N41" s="14"/>
      <c r="O41" s="14" t="inlineStr">
        <is>
          <t xml:space="preserve">Not Required</t>
        </is>
      </c>
      <c r="P41" s="14" t="str">
        <f>IFERROR(VLOOKUP($C41,'Test Library'!$A:$P,14,FALSE),"")</f>
        <v>Yes</v>
      </c>
      <c r="Q41" s="14"/>
    </row>
    <row r="42">
      <c r="A42" s="14" t="inlineStr">
        <is>
          <t xml:space="preserve">BETARUN-0041</t>
        </is>
      </c>
      <c r="B42" s="14" t="inlineStr">
        <is>
          <t xml:space="preserve">Beta Release</t>
        </is>
      </c>
      <c r="C42" s="14" t="inlineStr">
        <is>
          <t xml:space="preserve">RR-0041</t>
        </is>
      </c>
      <c r="D42" s="14" t="str">
        <f>IFERROR(VLOOKUP($C42,'Test Library'!$A:$P,2,FALSE),"")</f>
        <v>Organisations, Locations &amp; Zones</v>
      </c>
      <c r="E42" s="14" t="str">
        <f>IFERROR(VLOOKUP($C42,'Test Library'!$A:$P,3,FALSE),"")</f>
        <v>Zone management</v>
      </c>
      <c r="F42" s="14" t="str">
        <f>IFERROR(VLOOKUP($C42,'Test Library'!$A:$P,5,FALSE),"")</f>
        <v>Edit a zone name and role colour</v>
      </c>
      <c r="G42" s="14" t="str">
        <f>IFERROR(VLOOKUP($C42,'Test Library'!$A:$P,6,FALSE),"")</f>
        <v>High</v>
      </c>
      <c r="H42" s="14" t="inlineStr">
        <is>
          <t xml:space="preserve">Staging</t>
        </is>
      </c>
      <c r="I42" s="14" t="inlineStr">
        <is>
          <t xml:space="preserve">Not Run</t>
        </is>
      </c>
      <c r="J42" s="14"/>
      <c r="K42" s="17"/>
      <c r="L42" s="14"/>
      <c r="M42" s="14"/>
      <c r="N42" s="14"/>
      <c r="O42" s="14" t="inlineStr">
        <is>
          <t xml:space="preserve">Not Required</t>
        </is>
      </c>
      <c r="P42" s="14" t="str">
        <f>IFERROR(VLOOKUP($C42,'Test Library'!$A:$P,14,FALSE),"")</f>
        <v>Yes</v>
      </c>
      <c r="Q42" s="14"/>
    </row>
    <row r="43">
      <c r="A43" s="14" t="inlineStr">
        <is>
          <t xml:space="preserve">BETARUN-0042</t>
        </is>
      </c>
      <c r="B43" s="14" t="inlineStr">
        <is>
          <t xml:space="preserve">Beta Release</t>
        </is>
      </c>
      <c r="C43" s="14" t="inlineStr">
        <is>
          <t xml:space="preserve">RR-0042</t>
        </is>
      </c>
      <c r="D43" s="14" t="str">
        <f>IFERROR(VLOOKUP($C43,'Test Library'!$A:$P,2,FALSE),"")</f>
        <v>Organisations, Locations &amp; Zones</v>
      </c>
      <c r="E43" s="14" t="str">
        <f>IFERROR(VLOOKUP($C43,'Test Library'!$A:$P,3,FALSE),"")</f>
        <v>Zone management</v>
      </c>
      <c r="F43" s="14" t="str">
        <f>IFERROR(VLOOKUP($C43,'Test Library'!$A:$P,5,FALSE),"")</f>
        <v>Reorder zones</v>
      </c>
      <c r="G43" s="14" t="str">
        <f>IFERROR(VLOOKUP($C43,'Test Library'!$A:$P,6,FALSE),"")</f>
        <v>Medium</v>
      </c>
      <c r="H43" s="14" t="inlineStr">
        <is>
          <t xml:space="preserve">Staging</t>
        </is>
      </c>
      <c r="I43" s="14" t="inlineStr">
        <is>
          <t xml:space="preserve">Not Run</t>
        </is>
      </c>
      <c r="J43" s="14"/>
      <c r="K43" s="17"/>
      <c r="L43" s="14"/>
      <c r="M43" s="14"/>
      <c r="N43" s="14"/>
      <c r="O43" s="14" t="inlineStr">
        <is>
          <t xml:space="preserve">Not Required</t>
        </is>
      </c>
      <c r="P43" s="14" t="str">
        <f>IFERROR(VLOOKUP($C43,'Test Library'!$A:$P,14,FALSE),"")</f>
        <v>No</v>
      </c>
      <c r="Q43" s="14"/>
    </row>
    <row r="44">
      <c r="A44" s="14" t="inlineStr">
        <is>
          <t xml:space="preserve">BETARUN-0043</t>
        </is>
      </c>
      <c r="B44" s="14" t="inlineStr">
        <is>
          <t xml:space="preserve">Beta Release</t>
        </is>
      </c>
      <c r="C44" s="14" t="inlineStr">
        <is>
          <t xml:space="preserve">RR-0043</t>
        </is>
      </c>
      <c r="D44" s="14" t="str">
        <f>IFERROR(VLOOKUP($C44,'Test Library'!$A:$P,2,FALSE),"")</f>
        <v>Organisations, Locations &amp; Zones</v>
      </c>
      <c r="E44" s="14" t="str">
        <f>IFERROR(VLOOKUP($C44,'Test Library'!$A:$P,3,FALSE),"")</f>
        <v>Zone management</v>
      </c>
      <c r="F44" s="14" t="str">
        <f>IFERROR(VLOOKUP($C44,'Test Library'!$A:$P,5,FALSE),"")</f>
        <v>Archive an unused zone</v>
      </c>
      <c r="G44" s="14" t="str">
        <f>IFERROR(VLOOKUP($C44,'Test Library'!$A:$P,6,FALSE),"")</f>
        <v>Medium</v>
      </c>
      <c r="H44" s="14" t="inlineStr">
        <is>
          <t xml:space="preserve">Staging</t>
        </is>
      </c>
      <c r="I44" s="14" t="inlineStr">
        <is>
          <t xml:space="preserve">Not Run</t>
        </is>
      </c>
      <c r="J44" s="14"/>
      <c r="K44" s="17"/>
      <c r="L44" s="14"/>
      <c r="M44" s="14"/>
      <c r="N44" s="14"/>
      <c r="O44" s="14" t="inlineStr">
        <is>
          <t xml:space="preserve">Not Required</t>
        </is>
      </c>
      <c r="P44" s="14" t="str">
        <f>IFERROR(VLOOKUP($C44,'Test Library'!$A:$P,14,FALSE),"")</f>
        <v>No</v>
      </c>
      <c r="Q44" s="14"/>
    </row>
    <row r="45">
      <c r="A45" s="14" t="inlineStr">
        <is>
          <t xml:space="preserve">BETARUN-0044</t>
        </is>
      </c>
      <c r="B45" s="14" t="inlineStr">
        <is>
          <t xml:space="preserve">Beta Release</t>
        </is>
      </c>
      <c r="C45" s="14" t="inlineStr">
        <is>
          <t xml:space="preserve">RR-0044</t>
        </is>
      </c>
      <c r="D45" s="14" t="str">
        <f>IFERROR(VLOOKUP($C45,'Test Library'!$A:$P,2,FALSE),"")</f>
        <v>Organisations, Locations &amp; Zones</v>
      </c>
      <c r="E45" s="14" t="str">
        <f>IFERROR(VLOOKUP($C45,'Test Library'!$A:$P,3,FALSE),"")</f>
        <v>Zone management</v>
      </c>
      <c r="F45" s="14" t="str">
        <f>IFERROR(VLOOKUP($C45,'Test Library'!$A:$P,5,FALSE),"")</f>
        <v>Archive a zone used by future shifts</v>
      </c>
      <c r="G45" s="14" t="str">
        <f>IFERROR(VLOOKUP($C45,'Test Library'!$A:$P,6,FALSE),"")</f>
        <v>High</v>
      </c>
      <c r="H45" s="14" t="inlineStr">
        <is>
          <t xml:space="preserve">Staging</t>
        </is>
      </c>
      <c r="I45" s="14" t="inlineStr">
        <is>
          <t xml:space="preserve">Not Run</t>
        </is>
      </c>
      <c r="J45" s="14"/>
      <c r="K45" s="17"/>
      <c r="L45" s="14"/>
      <c r="M45" s="14"/>
      <c r="N45" s="14"/>
      <c r="O45" s="14" t="inlineStr">
        <is>
          <t xml:space="preserve">Not Required</t>
        </is>
      </c>
      <c r="P45" s="14" t="str">
        <f>IFERROR(VLOOKUP($C45,'Test Library'!$A:$P,14,FALSE),"")</f>
        <v>Yes</v>
      </c>
      <c r="Q45" s="14"/>
    </row>
    <row r="46">
      <c r="A46" s="14" t="inlineStr">
        <is>
          <t xml:space="preserve">BETARUN-0045</t>
        </is>
      </c>
      <c r="B46" s="14" t="inlineStr">
        <is>
          <t xml:space="preserve">Beta Release</t>
        </is>
      </c>
      <c r="C46" s="14" t="inlineStr">
        <is>
          <t xml:space="preserve">RR-0045</t>
        </is>
      </c>
      <c r="D46" s="14" t="str">
        <f>IFERROR(VLOOKUP($C46,'Test Library'!$A:$P,2,FALSE),"")</f>
        <v>Organisations, Locations &amp; Zones</v>
      </c>
      <c r="E46" s="14" t="str">
        <f>IFERROR(VLOOKUP($C46,'Test Library'!$A:$P,3,FALSE),"")</f>
        <v>Zone management</v>
      </c>
      <c r="F46" s="14" t="str">
        <f>IFERROR(VLOOKUP($C46,'Test Library'!$A:$P,5,FALSE),"")</f>
        <v>Create a zone with an empty or whitespace-only name</v>
      </c>
      <c r="G46" s="14" t="str">
        <f>IFERROR(VLOOKUP($C46,'Test Library'!$A:$P,6,FALSE),"")</f>
        <v>Medium</v>
      </c>
      <c r="H46" s="14" t="inlineStr">
        <is>
          <t xml:space="preserve">Staging</t>
        </is>
      </c>
      <c r="I46" s="14" t="inlineStr">
        <is>
          <t xml:space="preserve">Not Run</t>
        </is>
      </c>
      <c r="J46" s="14"/>
      <c r="K46" s="17"/>
      <c r="L46" s="14"/>
      <c r="M46" s="14"/>
      <c r="N46" s="14"/>
      <c r="O46" s="14" t="inlineStr">
        <is>
          <t xml:space="preserve">Not Required</t>
        </is>
      </c>
      <c r="P46" s="14" t="str">
        <f>IFERROR(VLOOKUP($C46,'Test Library'!$A:$P,14,FALSE),"")</f>
        <v>No</v>
      </c>
      <c r="Q46" s="14"/>
    </row>
    <row r="47">
      <c r="A47" s="14" t="inlineStr">
        <is>
          <t xml:space="preserve">BETARUN-0046</t>
        </is>
      </c>
      <c r="B47" s="14" t="inlineStr">
        <is>
          <t xml:space="preserve">Beta Release</t>
        </is>
      </c>
      <c r="C47" s="14" t="inlineStr">
        <is>
          <t xml:space="preserve">RR-0046</t>
        </is>
      </c>
      <c r="D47" s="14" t="str">
        <f>IFERROR(VLOOKUP($C47,'Test Library'!$A:$P,2,FALSE),"")</f>
        <v>Organisations, Locations &amp; Zones</v>
      </c>
      <c r="E47" s="14" t="str">
        <f>IFERROR(VLOOKUP($C47,'Test Library'!$A:$P,3,FALSE),"")</f>
        <v>Zone management</v>
      </c>
      <c r="F47" s="14" t="str">
        <f>IFERROR(VLOOKUP($C47,'Test Library'!$A:$P,5,FALSE),"")</f>
        <v>Create an extremely long or Unicode zone name</v>
      </c>
      <c r="G47" s="14" t="str">
        <f>IFERROR(VLOOKUP($C47,'Test Library'!$A:$P,6,FALSE),"")</f>
        <v>Low</v>
      </c>
      <c r="H47" s="14" t="inlineStr">
        <is>
          <t xml:space="preserve">Staging</t>
        </is>
      </c>
      <c r="I47" s="14" t="inlineStr">
        <is>
          <t xml:space="preserve">Not Run</t>
        </is>
      </c>
      <c r="J47" s="14"/>
      <c r="K47" s="17"/>
      <c r="L47" s="14"/>
      <c r="M47" s="14"/>
      <c r="N47" s="14"/>
      <c r="O47" s="14" t="inlineStr">
        <is>
          <t xml:space="preserve">Not Required</t>
        </is>
      </c>
      <c r="P47" s="14" t="str">
        <f>IFERROR(VLOOKUP($C47,'Test Library'!$A:$P,14,FALSE),"")</f>
        <v>No</v>
      </c>
      <c r="Q47" s="14"/>
    </row>
    <row r="48">
      <c r="A48" s="14" t="inlineStr">
        <is>
          <t xml:space="preserve">BETARUN-0047</t>
        </is>
      </c>
      <c r="B48" s="14" t="inlineStr">
        <is>
          <t xml:space="preserve">Beta Release</t>
        </is>
      </c>
      <c r="C48" s="14" t="inlineStr">
        <is>
          <t xml:space="preserve">RR-0047</t>
        </is>
      </c>
      <c r="D48" s="14" t="str">
        <f>IFERROR(VLOOKUP($C48,'Test Library'!$A:$P,2,FALSE),"")</f>
        <v>Organisations, Locations &amp; Zones</v>
      </c>
      <c r="E48" s="14" t="str">
        <f>IFERROR(VLOOKUP($C48,'Test Library'!$A:$P,3,FALSE),"")</f>
        <v>Zone management</v>
      </c>
      <c r="F48" s="14" t="str">
        <f>IFERROR(VLOOKUP($C48,'Test Library'!$A:$P,5,FALSE),"")</f>
        <v>Move an employee between zone groups</v>
      </c>
      <c r="G48" s="14" t="str">
        <f>IFERROR(VLOOKUP($C48,'Test Library'!$A:$P,6,FALSE),"")</f>
        <v>High</v>
      </c>
      <c r="H48" s="14" t="inlineStr">
        <is>
          <t xml:space="preserve">Staging</t>
        </is>
      </c>
      <c r="I48" s="14" t="inlineStr">
        <is>
          <t xml:space="preserve">Not Run</t>
        </is>
      </c>
      <c r="J48" s="14"/>
      <c r="K48" s="17"/>
      <c r="L48" s="14"/>
      <c r="M48" s="14"/>
      <c r="N48" s="14"/>
      <c r="O48" s="14" t="inlineStr">
        <is>
          <t xml:space="preserve">Not Required</t>
        </is>
      </c>
      <c r="P48" s="14" t="str">
        <f>IFERROR(VLOOKUP($C48,'Test Library'!$A:$P,14,FALSE),"")</f>
        <v>Yes</v>
      </c>
      <c r="Q48" s="14"/>
    </row>
    <row r="49">
      <c r="A49" s="14" t="inlineStr">
        <is>
          <t xml:space="preserve">BETARUN-0048</t>
        </is>
      </c>
      <c r="B49" s="14" t="inlineStr">
        <is>
          <t xml:space="preserve">Beta Release</t>
        </is>
      </c>
      <c r="C49" s="14" t="inlineStr">
        <is>
          <t xml:space="preserve">RR-0048</t>
        </is>
      </c>
      <c r="D49" s="14" t="str">
        <f>IFERROR(VLOOKUP($C49,'Test Library'!$A:$P,2,FALSE),"")</f>
        <v>Organisations, Locations &amp; Zones</v>
      </c>
      <c r="E49" s="14" t="str">
        <f>IFERROR(VLOOKUP($C49,'Test Library'!$A:$P,3,FALSE),"")</f>
        <v>Zone management</v>
      </c>
      <c r="F49" s="14" t="str">
        <f>IFERROR(VLOOKUP($C49,'Test Library'!$A:$P,5,FALSE),"")</f>
        <v>Filter the rota by one or multiple zones</v>
      </c>
      <c r="G49" s="14" t="str">
        <f>IFERROR(VLOOKUP($C49,'Test Library'!$A:$P,6,FALSE),"")</f>
        <v>High</v>
      </c>
      <c r="H49" s="14" t="inlineStr">
        <is>
          <t xml:space="preserve">Staging</t>
        </is>
      </c>
      <c r="I49" s="14" t="inlineStr">
        <is>
          <t xml:space="preserve">Not Run</t>
        </is>
      </c>
      <c r="J49" s="14"/>
      <c r="K49" s="17"/>
      <c r="L49" s="14"/>
      <c r="M49" s="14"/>
      <c r="N49" s="14"/>
      <c r="O49" s="14" t="inlineStr">
        <is>
          <t xml:space="preserve">Not Required</t>
        </is>
      </c>
      <c r="P49" s="14" t="str">
        <f>IFERROR(VLOOKUP($C49,'Test Library'!$A:$P,14,FALSE),"")</f>
        <v>Yes</v>
      </c>
      <c r="Q49" s="14"/>
    </row>
    <row r="50">
      <c r="A50" s="14" t="inlineStr">
        <is>
          <t xml:space="preserve">BETARUN-0049</t>
        </is>
      </c>
      <c r="B50" s="14" t="inlineStr">
        <is>
          <t xml:space="preserve">Beta Release</t>
        </is>
      </c>
      <c r="C50" s="14" t="inlineStr">
        <is>
          <t xml:space="preserve">RR-0049</t>
        </is>
      </c>
      <c r="D50" s="14" t="str">
        <f>IFERROR(VLOOKUP($C50,'Test Library'!$A:$P,2,FALSE),"")</f>
        <v>Employees &amp; Invitations</v>
      </c>
      <c r="E50" s="14" t="str">
        <f>IFERROR(VLOOKUP($C50,'Test Library'!$A:$P,3,FALSE),"")</f>
        <v>Employee records and memberships</v>
      </c>
      <c r="F50" s="14" t="str">
        <f>IFERROR(VLOOKUP($C50,'Test Library'!$A:$P,5,FALSE),"")</f>
        <v>Add an employee manually with valid details</v>
      </c>
      <c r="G50" s="14" t="str">
        <f>IFERROR(VLOOKUP($C50,'Test Library'!$A:$P,6,FALSE),"")</f>
        <v>Critical</v>
      </c>
      <c r="H50" s="14" t="inlineStr">
        <is>
          <t xml:space="preserve">Staging</t>
        </is>
      </c>
      <c r="I50" s="14" t="inlineStr">
        <is>
          <t xml:space="preserve">Not Run</t>
        </is>
      </c>
      <c r="J50" s="14"/>
      <c r="K50" s="17"/>
      <c r="L50" s="14"/>
      <c r="M50" s="14"/>
      <c r="N50" s="14"/>
      <c r="O50" s="14" t="inlineStr">
        <is>
          <t xml:space="preserve">Not Required</t>
        </is>
      </c>
      <c r="P50" s="14" t="str">
        <f>IFERROR(VLOOKUP($C50,'Test Library'!$A:$P,14,FALSE),"")</f>
        <v>Yes</v>
      </c>
      <c r="Q50" s="14"/>
    </row>
    <row r="51">
      <c r="A51" s="14" t="inlineStr">
        <is>
          <t xml:space="preserve">BETARUN-0050</t>
        </is>
      </c>
      <c r="B51" s="14" t="inlineStr">
        <is>
          <t xml:space="preserve">Beta Release</t>
        </is>
      </c>
      <c r="C51" s="14" t="inlineStr">
        <is>
          <t xml:space="preserve">RR-0050</t>
        </is>
      </c>
      <c r="D51" s="14" t="str">
        <f>IFERROR(VLOOKUP($C51,'Test Library'!$A:$P,2,FALSE),"")</f>
        <v>Employees &amp; Invitations</v>
      </c>
      <c r="E51" s="14" t="str">
        <f>IFERROR(VLOOKUP($C51,'Test Library'!$A:$P,3,FALSE),"")</f>
        <v>Employee records and memberships</v>
      </c>
      <c r="F51" s="14" t="str">
        <f>IFERROR(VLOOKUP($C51,'Test Library'!$A:$P,5,FALSE),"")</f>
        <v>Add an employee using an email already in the organisation</v>
      </c>
      <c r="G51" s="14" t="str">
        <f>IFERROR(VLOOKUP($C51,'Test Library'!$A:$P,6,FALSE),"")</f>
        <v>Critical</v>
      </c>
      <c r="H51" s="14" t="inlineStr">
        <is>
          <t xml:space="preserve">Staging</t>
        </is>
      </c>
      <c r="I51" s="14" t="inlineStr">
        <is>
          <t xml:space="preserve">Not Run</t>
        </is>
      </c>
      <c r="J51" s="14"/>
      <c r="K51" s="17"/>
      <c r="L51" s="14"/>
      <c r="M51" s="14"/>
      <c r="N51" s="14"/>
      <c r="O51" s="14" t="inlineStr">
        <is>
          <t xml:space="preserve">Not Required</t>
        </is>
      </c>
      <c r="P51" s="14" t="str">
        <f>IFERROR(VLOOKUP($C51,'Test Library'!$A:$P,14,FALSE),"")</f>
        <v>Yes</v>
      </c>
      <c r="Q51" s="14"/>
    </row>
    <row r="52">
      <c r="A52" s="14" t="inlineStr">
        <is>
          <t xml:space="preserve">BETARUN-0051</t>
        </is>
      </c>
      <c r="B52" s="14" t="inlineStr">
        <is>
          <t xml:space="preserve">Beta Release</t>
        </is>
      </c>
      <c r="C52" s="14" t="inlineStr">
        <is>
          <t xml:space="preserve">RR-0051</t>
        </is>
      </c>
      <c r="D52" s="14" t="str">
        <f>IFERROR(VLOOKUP($C52,'Test Library'!$A:$P,2,FALSE),"")</f>
        <v>Employees &amp; Invitations</v>
      </c>
      <c r="E52" s="14" t="str">
        <f>IFERROR(VLOOKUP($C52,'Test Library'!$A:$P,3,FALSE),"")</f>
        <v>Employee records and memberships</v>
      </c>
      <c r="F52" s="14" t="str">
        <f>IFERROR(VLOOKUP($C52,'Test Library'!$A:$P,5,FALSE),"")</f>
        <v>Add the same employee to a second location</v>
      </c>
      <c r="G52" s="14" t="str">
        <f>IFERROR(VLOOKUP($C52,'Test Library'!$A:$P,6,FALSE),"")</f>
        <v>Critical</v>
      </c>
      <c r="H52" s="14" t="inlineStr">
        <is>
          <t xml:space="preserve">Staging</t>
        </is>
      </c>
      <c r="I52" s="14" t="inlineStr">
        <is>
          <t xml:space="preserve">Not Run</t>
        </is>
      </c>
      <c r="J52" s="14"/>
      <c r="K52" s="17"/>
      <c r="L52" s="14"/>
      <c r="M52" s="14"/>
      <c r="N52" s="14"/>
      <c r="O52" s="14" t="inlineStr">
        <is>
          <t xml:space="preserve">Not Required</t>
        </is>
      </c>
      <c r="P52" s="14" t="str">
        <f>IFERROR(VLOOKUP($C52,'Test Library'!$A:$P,14,FALSE),"")</f>
        <v>Yes</v>
      </c>
      <c r="Q52" s="14"/>
    </row>
    <row r="53">
      <c r="A53" s="14" t="inlineStr">
        <is>
          <t xml:space="preserve">BETARUN-0052</t>
        </is>
      </c>
      <c r="B53" s="14" t="inlineStr">
        <is>
          <t xml:space="preserve">Beta Release</t>
        </is>
      </c>
      <c r="C53" s="14" t="inlineStr">
        <is>
          <t xml:space="preserve">RR-0052</t>
        </is>
      </c>
      <c r="D53" s="14" t="str">
        <f>IFERROR(VLOOKUP($C53,'Test Library'!$A:$P,2,FALSE),"")</f>
        <v>Employees &amp; Invitations</v>
      </c>
      <c r="E53" s="14" t="str">
        <f>IFERROR(VLOOKUP($C53,'Test Library'!$A:$P,3,FALSE),"")</f>
        <v>Employee records and memberships</v>
      </c>
      <c r="F53" s="14" t="str">
        <f>IFERROR(VLOOKUP($C53,'Test Library'!$A:$P,5,FALSE),"")</f>
        <v>Set an employee active at one location and inactive at another</v>
      </c>
      <c r="G53" s="14" t="str">
        <f>IFERROR(VLOOKUP($C53,'Test Library'!$A:$P,6,FALSE),"")</f>
        <v>Critical</v>
      </c>
      <c r="H53" s="14" t="inlineStr">
        <is>
          <t xml:space="preserve">Staging</t>
        </is>
      </c>
      <c r="I53" s="14" t="inlineStr">
        <is>
          <t xml:space="preserve">Not Run</t>
        </is>
      </c>
      <c r="J53" s="14"/>
      <c r="K53" s="17"/>
      <c r="L53" s="14"/>
      <c r="M53" s="14"/>
      <c r="N53" s="14"/>
      <c r="O53" s="14" t="inlineStr">
        <is>
          <t xml:space="preserve">Not Required</t>
        </is>
      </c>
      <c r="P53" s="14" t="str">
        <f>IFERROR(VLOOKUP($C53,'Test Library'!$A:$P,14,FALSE),"")</f>
        <v>Yes</v>
      </c>
      <c r="Q53" s="14"/>
    </row>
    <row r="54">
      <c r="A54" s="14" t="inlineStr">
        <is>
          <t xml:space="preserve">BETARUN-0053</t>
        </is>
      </c>
      <c r="B54" s="14" t="inlineStr">
        <is>
          <t xml:space="preserve">Beta Release</t>
        </is>
      </c>
      <c r="C54" s="14" t="inlineStr">
        <is>
          <t xml:space="preserve">RR-0053</t>
        </is>
      </c>
      <c r="D54" s="14" t="str">
        <f>IFERROR(VLOOKUP($C54,'Test Library'!$A:$P,2,FALSE),"")</f>
        <v>Employees &amp; Invitations</v>
      </c>
      <c r="E54" s="14" t="str">
        <f>IFERROR(VLOOKUP($C54,'Test Library'!$A:$P,3,FALSE),"")</f>
        <v>Employee records and memberships</v>
      </c>
      <c r="F54" s="14" t="str">
        <f>IFERROR(VLOOKUP($C54,'Test Library'!$A:$P,5,FALSE),"")</f>
        <v>Deactivate an employee with no future shifts</v>
      </c>
      <c r="G54" s="14" t="str">
        <f>IFERROR(VLOOKUP($C54,'Test Library'!$A:$P,6,FALSE),"")</f>
        <v>High</v>
      </c>
      <c r="H54" s="14" t="inlineStr">
        <is>
          <t xml:space="preserve">Staging</t>
        </is>
      </c>
      <c r="I54" s="14" t="inlineStr">
        <is>
          <t xml:space="preserve">Not Run</t>
        </is>
      </c>
      <c r="J54" s="14"/>
      <c r="K54" s="17"/>
      <c r="L54" s="14"/>
      <c r="M54" s="14"/>
      <c r="N54" s="14"/>
      <c r="O54" s="14" t="inlineStr">
        <is>
          <t xml:space="preserve">Not Required</t>
        </is>
      </c>
      <c r="P54" s="14" t="str">
        <f>IFERROR(VLOOKUP($C54,'Test Library'!$A:$P,14,FALSE),"")</f>
        <v>Yes</v>
      </c>
      <c r="Q54" s="14"/>
    </row>
    <row r="55">
      <c r="A55" s="14" t="inlineStr">
        <is>
          <t xml:space="preserve">BETARUN-0054</t>
        </is>
      </c>
      <c r="B55" s="14" t="inlineStr">
        <is>
          <t xml:space="preserve">Beta Release</t>
        </is>
      </c>
      <c r="C55" s="14" t="inlineStr">
        <is>
          <t xml:space="preserve">RR-0054</t>
        </is>
      </c>
      <c r="D55" s="14" t="str">
        <f>IFERROR(VLOOKUP($C55,'Test Library'!$A:$P,2,FALSE),"")</f>
        <v>Employees &amp; Invitations</v>
      </c>
      <c r="E55" s="14" t="str">
        <f>IFERROR(VLOOKUP($C55,'Test Library'!$A:$P,3,FALSE),"")</f>
        <v>Employee records and memberships</v>
      </c>
      <c r="F55" s="14" t="str">
        <f>IFERROR(VLOOKUP($C55,'Test Library'!$A:$P,5,FALSE),"")</f>
        <v>Deactivate an employee with future shifts</v>
      </c>
      <c r="G55" s="14" t="str">
        <f>IFERROR(VLOOKUP($C55,'Test Library'!$A:$P,6,FALSE),"")</f>
        <v>Critical</v>
      </c>
      <c r="H55" s="14" t="inlineStr">
        <is>
          <t xml:space="preserve">Staging</t>
        </is>
      </c>
      <c r="I55" s="14" t="inlineStr">
        <is>
          <t xml:space="preserve">Not Run</t>
        </is>
      </c>
      <c r="J55" s="14"/>
      <c r="K55" s="17"/>
      <c r="L55" s="14"/>
      <c r="M55" s="14"/>
      <c r="N55" s="14"/>
      <c r="O55" s="14" t="inlineStr">
        <is>
          <t xml:space="preserve">Not Required</t>
        </is>
      </c>
      <c r="P55" s="14" t="str">
        <f>IFERROR(VLOOKUP($C55,'Test Library'!$A:$P,14,FALSE),"")</f>
        <v>Yes</v>
      </c>
      <c r="Q55" s="14"/>
    </row>
    <row r="56">
      <c r="A56" s="14" t="inlineStr">
        <is>
          <t xml:space="preserve">BETARUN-0055</t>
        </is>
      </c>
      <c r="B56" s="14" t="inlineStr">
        <is>
          <t xml:space="preserve">Beta Release</t>
        </is>
      </c>
      <c r="C56" s="14" t="inlineStr">
        <is>
          <t xml:space="preserve">RR-0055</t>
        </is>
      </c>
      <c r="D56" s="14" t="str">
        <f>IFERROR(VLOOKUP($C56,'Test Library'!$A:$P,2,FALSE),"")</f>
        <v>Employees &amp; Invitations</v>
      </c>
      <c r="E56" s="14" t="str">
        <f>IFERROR(VLOOKUP($C56,'Test Library'!$A:$P,3,FALSE),"")</f>
        <v>Employee records and memberships</v>
      </c>
      <c r="F56" s="14" t="str">
        <f>IFERROR(VLOOKUP($C56,'Test Library'!$A:$P,5,FALSE),"")</f>
        <v>Reactivate an employee</v>
      </c>
      <c r="G56" s="14" t="str">
        <f>IFERROR(VLOOKUP($C56,'Test Library'!$A:$P,6,FALSE),"")</f>
        <v>High</v>
      </c>
      <c r="H56" s="14" t="inlineStr">
        <is>
          <t xml:space="preserve">Staging</t>
        </is>
      </c>
      <c r="I56" s="14" t="inlineStr">
        <is>
          <t xml:space="preserve">Not Run</t>
        </is>
      </c>
      <c r="J56" s="14"/>
      <c r="K56" s="17"/>
      <c r="L56" s="14"/>
      <c r="M56" s="14"/>
      <c r="N56" s="14"/>
      <c r="O56" s="14" t="inlineStr">
        <is>
          <t xml:space="preserve">Not Required</t>
        </is>
      </c>
      <c r="P56" s="14" t="str">
        <f>IFERROR(VLOOKUP($C56,'Test Library'!$A:$P,14,FALSE),"")</f>
        <v>Yes</v>
      </c>
      <c r="Q56" s="14"/>
    </row>
    <row r="57">
      <c r="A57" s="14" t="inlineStr">
        <is>
          <t xml:space="preserve">BETARUN-0056</t>
        </is>
      </c>
      <c r="B57" s="14" t="inlineStr">
        <is>
          <t xml:space="preserve">Beta Release</t>
        </is>
      </c>
      <c r="C57" s="14" t="inlineStr">
        <is>
          <t xml:space="preserve">RR-0056</t>
        </is>
      </c>
      <c r="D57" s="14" t="str">
        <f>IFERROR(VLOOKUP($C57,'Test Library'!$A:$P,2,FALSE),"")</f>
        <v>Employees &amp; Invitations</v>
      </c>
      <c r="E57" s="14" t="str">
        <f>IFERROR(VLOOKUP($C57,'Test Library'!$A:$P,3,FALSE),"")</f>
        <v>Employee records and memberships</v>
      </c>
      <c r="F57" s="14" t="str">
        <f>IFERROR(VLOOKUP($C57,'Test Library'!$A:$P,5,FALSE),"")</f>
        <v>Remove an employee from the organisation</v>
      </c>
      <c r="G57" s="14" t="str">
        <f>IFERROR(VLOOKUP($C57,'Test Library'!$A:$P,6,FALSE),"")</f>
        <v>Critical</v>
      </c>
      <c r="H57" s="14" t="inlineStr">
        <is>
          <t xml:space="preserve">Staging</t>
        </is>
      </c>
      <c r="I57" s="14" t="inlineStr">
        <is>
          <t xml:space="preserve">Not Run</t>
        </is>
      </c>
      <c r="J57" s="14"/>
      <c r="K57" s="17"/>
      <c r="L57" s="14"/>
      <c r="M57" s="14"/>
      <c r="N57" s="14"/>
      <c r="O57" s="14" t="inlineStr">
        <is>
          <t xml:space="preserve">Not Required</t>
        </is>
      </c>
      <c r="P57" s="14" t="str">
        <f>IFERROR(VLOOKUP($C57,'Test Library'!$A:$P,14,FALSE),"")</f>
        <v>Yes</v>
      </c>
      <c r="Q57" s="14"/>
    </row>
    <row r="58">
      <c r="A58" s="14" t="inlineStr">
        <is>
          <t xml:space="preserve">BETARUN-0057</t>
        </is>
      </c>
      <c r="B58" s="14" t="inlineStr">
        <is>
          <t xml:space="preserve">Beta Release</t>
        </is>
      </c>
      <c r="C58" s="14" t="inlineStr">
        <is>
          <t xml:space="preserve">RR-0057</t>
        </is>
      </c>
      <c r="D58" s="14" t="str">
        <f>IFERROR(VLOOKUP($C58,'Test Library'!$A:$P,2,FALSE),"")</f>
        <v>Employees &amp; Invitations</v>
      </c>
      <c r="E58" s="14" t="str">
        <f>IFERROR(VLOOKUP($C58,'Test Library'!$A:$P,3,FALSE),"")</f>
        <v>Employee records and memberships</v>
      </c>
      <c r="F58" s="14" t="str">
        <f>IFERROR(VLOOKUP($C58,'Test Library'!$A:$P,5,FALSE),"")</f>
        <v>Edit name, phone and payroll reference</v>
      </c>
      <c r="G58" s="14" t="str">
        <f>IFERROR(VLOOKUP($C58,'Test Library'!$A:$P,6,FALSE),"")</f>
        <v>High</v>
      </c>
      <c r="H58" s="14" t="inlineStr">
        <is>
          <t xml:space="preserve">Staging</t>
        </is>
      </c>
      <c r="I58" s="14" t="inlineStr">
        <is>
          <t xml:space="preserve">Not Run</t>
        </is>
      </c>
      <c r="J58" s="14"/>
      <c r="K58" s="17"/>
      <c r="L58" s="14"/>
      <c r="M58" s="14"/>
      <c r="N58" s="14"/>
      <c r="O58" s="14" t="inlineStr">
        <is>
          <t xml:space="preserve">Not Required</t>
        </is>
      </c>
      <c r="P58" s="14" t="str">
        <f>IFERROR(VLOOKUP($C58,'Test Library'!$A:$P,14,FALSE),"")</f>
        <v>Yes</v>
      </c>
      <c r="Q58" s="14"/>
    </row>
    <row r="59">
      <c r="A59" s="14" t="inlineStr">
        <is>
          <t xml:space="preserve">BETARUN-0058</t>
        </is>
      </c>
      <c r="B59" s="14" t="inlineStr">
        <is>
          <t xml:space="preserve">Beta Release</t>
        </is>
      </c>
      <c r="C59" s="14" t="inlineStr">
        <is>
          <t xml:space="preserve">RR-0058</t>
        </is>
      </c>
      <c r="D59" s="14" t="str">
        <f>IFERROR(VLOOKUP($C59,'Test Library'!$A:$P,2,FALSE),"")</f>
        <v>Employees &amp; Invitations</v>
      </c>
      <c r="E59" s="14" t="str">
        <f>IFERROR(VLOOKUP($C59,'Test Library'!$A:$P,3,FALSE),"")</f>
        <v>Employee records and memberships</v>
      </c>
      <c r="F59" s="14" t="str">
        <f>IFERROR(VLOOKUP($C59,'Test Library'!$A:$P,5,FALSE),"")</f>
        <v>Leave payroll reference blank</v>
      </c>
      <c r="G59" s="14" t="str">
        <f>IFERROR(VLOOKUP($C59,'Test Library'!$A:$P,6,FALSE),"")</f>
        <v>Medium</v>
      </c>
      <c r="H59" s="14" t="inlineStr">
        <is>
          <t xml:space="preserve">Staging</t>
        </is>
      </c>
      <c r="I59" s="14" t="inlineStr">
        <is>
          <t xml:space="preserve">Not Run</t>
        </is>
      </c>
      <c r="J59" s="14"/>
      <c r="K59" s="17"/>
      <c r="L59" s="14"/>
      <c r="M59" s="14"/>
      <c r="N59" s="14"/>
      <c r="O59" s="14" t="inlineStr">
        <is>
          <t xml:space="preserve">Not Required</t>
        </is>
      </c>
      <c r="P59" s="14" t="str">
        <f>IFERROR(VLOOKUP($C59,'Test Library'!$A:$P,14,FALSE),"")</f>
        <v>No</v>
      </c>
      <c r="Q59" s="14"/>
    </row>
    <row r="60">
      <c r="A60" s="14" t="inlineStr">
        <is>
          <t xml:space="preserve">BETARUN-0059</t>
        </is>
      </c>
      <c r="B60" s="14" t="inlineStr">
        <is>
          <t xml:space="preserve">Beta Release</t>
        </is>
      </c>
      <c r="C60" s="14" t="inlineStr">
        <is>
          <t xml:space="preserve">RR-0059</t>
        </is>
      </c>
      <c r="D60" s="14" t="str">
        <f>IFERROR(VLOOKUP($C60,'Test Library'!$A:$P,2,FALSE),"")</f>
        <v>Employees &amp; Invitations</v>
      </c>
      <c r="E60" s="14" t="str">
        <f>IFERROR(VLOOKUP($C60,'Test Library'!$A:$P,3,FALSE),"")</f>
        <v>Employee records and memberships</v>
      </c>
      <c r="F60" s="14" t="str">
        <f>IFERROR(VLOOKUP($C60,'Test Library'!$A:$P,5,FALSE),"")</f>
        <v>Import a valid employee CSV</v>
      </c>
      <c r="G60" s="14" t="str">
        <f>IFERROR(VLOOKUP($C60,'Test Library'!$A:$P,6,FALSE),"")</f>
        <v>High</v>
      </c>
      <c r="H60" s="14" t="inlineStr">
        <is>
          <t xml:space="preserve">Staging</t>
        </is>
      </c>
      <c r="I60" s="14" t="inlineStr">
        <is>
          <t xml:space="preserve">Not Run</t>
        </is>
      </c>
      <c r="J60" s="14"/>
      <c r="K60" s="17"/>
      <c r="L60" s="14"/>
      <c r="M60" s="14"/>
      <c r="N60" s="14"/>
      <c r="O60" s="14" t="inlineStr">
        <is>
          <t xml:space="preserve">Not Required</t>
        </is>
      </c>
      <c r="P60" s="14" t="str">
        <f>IFERROR(VLOOKUP($C60,'Test Library'!$A:$P,14,FALSE),"")</f>
        <v>Yes</v>
      </c>
      <c r="Q60" s="14"/>
    </row>
    <row r="61">
      <c r="A61" s="14" t="inlineStr">
        <is>
          <t xml:space="preserve">BETARUN-0060</t>
        </is>
      </c>
      <c r="B61" s="14" t="inlineStr">
        <is>
          <t xml:space="preserve">Beta Release</t>
        </is>
      </c>
      <c r="C61" s="14" t="inlineStr">
        <is>
          <t xml:space="preserve">RR-0060</t>
        </is>
      </c>
      <c r="D61" s="14" t="str">
        <f>IFERROR(VLOOKUP($C61,'Test Library'!$A:$P,2,FALSE),"")</f>
        <v>Employees &amp; Invitations</v>
      </c>
      <c r="E61" s="14" t="str">
        <f>IFERROR(VLOOKUP($C61,'Test Library'!$A:$P,3,FALSE),"")</f>
        <v>Employee records and memberships</v>
      </c>
      <c r="F61" s="14" t="str">
        <f>IFERROR(VLOOKUP($C61,'Test Library'!$A:$P,5,FALSE),"")</f>
        <v>Import a CSV containing duplicates and invalid rows</v>
      </c>
      <c r="G61" s="14" t="str">
        <f>IFERROR(VLOOKUP($C61,'Test Library'!$A:$P,6,FALSE),"")</f>
        <v>High</v>
      </c>
      <c r="H61" s="14" t="inlineStr">
        <is>
          <t xml:space="preserve">Staging</t>
        </is>
      </c>
      <c r="I61" s="14" t="inlineStr">
        <is>
          <t xml:space="preserve">Not Run</t>
        </is>
      </c>
      <c r="J61" s="14"/>
      <c r="K61" s="17"/>
      <c r="L61" s="14"/>
      <c r="M61" s="14"/>
      <c r="N61" s="14"/>
      <c r="O61" s="14" t="inlineStr">
        <is>
          <t xml:space="preserve">Not Required</t>
        </is>
      </c>
      <c r="P61" s="14" t="str">
        <f>IFERROR(VLOOKUP($C61,'Test Library'!$A:$P,14,FALSE),"")</f>
        <v>Yes</v>
      </c>
      <c r="Q61" s="14"/>
    </row>
    <row r="62">
      <c r="A62" s="14" t="inlineStr">
        <is>
          <t xml:space="preserve">BETARUN-0061</t>
        </is>
      </c>
      <c r="B62" s="14" t="inlineStr">
        <is>
          <t xml:space="preserve">Beta Release</t>
        </is>
      </c>
      <c r="C62" s="14" t="inlineStr">
        <is>
          <t xml:space="preserve">RR-0061</t>
        </is>
      </c>
      <c r="D62" s="14" t="str">
        <f>IFERROR(VLOOKUP($C62,'Test Library'!$A:$P,2,FALSE),"")</f>
        <v>Employees &amp; Invitations</v>
      </c>
      <c r="E62" s="14" t="str">
        <f>IFERROR(VLOOKUP($C62,'Test Library'!$A:$P,3,FALSE),"")</f>
        <v>Employee records and memberships</v>
      </c>
      <c r="F62" s="14" t="str">
        <f>IFERROR(VLOOKUP($C62,'Test Library'!$A:$P,5,FALSE),"")</f>
        <v>Import more employees than the UI page size</v>
      </c>
      <c r="G62" s="14" t="str">
        <f>IFERROR(VLOOKUP($C62,'Test Library'!$A:$P,6,FALSE),"")</f>
        <v>Medium</v>
      </c>
      <c r="H62" s="14" t="inlineStr">
        <is>
          <t xml:space="preserve">Staging</t>
        </is>
      </c>
      <c r="I62" s="14" t="inlineStr">
        <is>
          <t xml:space="preserve">Not Run</t>
        </is>
      </c>
      <c r="J62" s="14"/>
      <c r="K62" s="17"/>
      <c r="L62" s="14"/>
      <c r="M62" s="14"/>
      <c r="N62" s="14"/>
      <c r="O62" s="14" t="inlineStr">
        <is>
          <t xml:space="preserve">Not Required</t>
        </is>
      </c>
      <c r="P62" s="14" t="str">
        <f>IFERROR(VLOOKUP($C62,'Test Library'!$A:$P,14,FALSE),"")</f>
        <v>No</v>
      </c>
      <c r="Q62" s="14"/>
    </row>
    <row r="63">
      <c r="A63" s="14" t="inlineStr">
        <is>
          <t xml:space="preserve">BETARUN-0062</t>
        </is>
      </c>
      <c r="B63" s="14" t="inlineStr">
        <is>
          <t xml:space="preserve">Beta Release</t>
        </is>
      </c>
      <c r="C63" s="14" t="inlineStr">
        <is>
          <t xml:space="preserve">RR-0062</t>
        </is>
      </c>
      <c r="D63" s="14" t="str">
        <f>IFERROR(VLOOKUP($C63,'Test Library'!$A:$P,2,FALSE),"")</f>
        <v>Employees &amp; Invitations</v>
      </c>
      <c r="E63" s="14" t="str">
        <f>IFERROR(VLOOKUP($C63,'Test Library'!$A:$P,3,FALSE),"")</f>
        <v>Invitations and joining</v>
      </c>
      <c r="F63" s="14" t="str">
        <f>IFERROR(VLOOKUP($C63,'Test Library'!$A:$P,5,FALSE),"")</f>
        <v>Send a valid employee invitation</v>
      </c>
      <c r="G63" s="14" t="str">
        <f>IFERROR(VLOOKUP($C63,'Test Library'!$A:$P,6,FALSE),"")</f>
        <v>Critical</v>
      </c>
      <c r="H63" s="14" t="inlineStr">
        <is>
          <t xml:space="preserve">Staging</t>
        </is>
      </c>
      <c r="I63" s="14" t="inlineStr">
        <is>
          <t xml:space="preserve">Not Run</t>
        </is>
      </c>
      <c r="J63" s="14"/>
      <c r="K63" s="17"/>
      <c r="L63" s="14"/>
      <c r="M63" s="14"/>
      <c r="N63" s="14"/>
      <c r="O63" s="14" t="inlineStr">
        <is>
          <t xml:space="preserve">Not Required</t>
        </is>
      </c>
      <c r="P63" s="14" t="str">
        <f>IFERROR(VLOOKUP($C63,'Test Library'!$A:$P,14,FALSE),"")</f>
        <v>Yes</v>
      </c>
      <c r="Q63" s="14"/>
    </row>
    <row r="64">
      <c r="A64" s="14" t="inlineStr">
        <is>
          <t xml:space="preserve">BETARUN-0063</t>
        </is>
      </c>
      <c r="B64" s="14" t="inlineStr">
        <is>
          <t xml:space="preserve">Beta Release</t>
        </is>
      </c>
      <c r="C64" s="14" t="inlineStr">
        <is>
          <t xml:space="preserve">RR-0063</t>
        </is>
      </c>
      <c r="D64" s="14" t="str">
        <f>IFERROR(VLOOKUP($C64,'Test Library'!$A:$P,2,FALSE),"")</f>
        <v>Employees &amp; Invitations</v>
      </c>
      <c r="E64" s="14" t="str">
        <f>IFERROR(VLOOKUP($C64,'Test Library'!$A:$P,3,FALSE),"")</f>
        <v>Invitations and joining</v>
      </c>
      <c r="F64" s="14" t="str">
        <f>IFERROR(VLOOKUP($C64,'Test Library'!$A:$P,5,FALSE),"")</f>
        <v>Open an invitation before expiry</v>
      </c>
      <c r="G64" s="14" t="str">
        <f>IFERROR(VLOOKUP($C64,'Test Library'!$A:$P,6,FALSE),"")</f>
        <v>Critical</v>
      </c>
      <c r="H64" s="14" t="inlineStr">
        <is>
          <t xml:space="preserve">Staging</t>
        </is>
      </c>
      <c r="I64" s="14" t="inlineStr">
        <is>
          <t xml:space="preserve">Not Run</t>
        </is>
      </c>
      <c r="J64" s="14"/>
      <c r="K64" s="17"/>
      <c r="L64" s="14"/>
      <c r="M64" s="14"/>
      <c r="N64" s="14"/>
      <c r="O64" s="14" t="inlineStr">
        <is>
          <t xml:space="preserve">Not Required</t>
        </is>
      </c>
      <c r="P64" s="14" t="str">
        <f>IFERROR(VLOOKUP($C64,'Test Library'!$A:$P,14,FALSE),"")</f>
        <v>Yes</v>
      </c>
      <c r="Q64" s="14"/>
    </row>
    <row r="65">
      <c r="A65" s="14" t="inlineStr">
        <is>
          <t xml:space="preserve">BETARUN-0064</t>
        </is>
      </c>
      <c r="B65" s="14" t="inlineStr">
        <is>
          <t xml:space="preserve">Beta Release</t>
        </is>
      </c>
      <c r="C65" s="14" t="inlineStr">
        <is>
          <t xml:space="preserve">RR-0064</t>
        </is>
      </c>
      <c r="D65" s="14" t="str">
        <f>IFERROR(VLOOKUP($C65,'Test Library'!$A:$P,2,FALSE),"")</f>
        <v>Employees &amp; Invitations</v>
      </c>
      <c r="E65" s="14" t="str">
        <f>IFERROR(VLOOKUP($C65,'Test Library'!$A:$P,3,FALSE),"")</f>
        <v>Invitations and joining</v>
      </c>
      <c r="F65" s="14" t="str">
        <f>IFERROR(VLOOKUP($C65,'Test Library'!$A:$P,5,FALSE),"")</f>
        <v>Open an invitation after expiry</v>
      </c>
      <c r="G65" s="14" t="str">
        <f>IFERROR(VLOOKUP($C65,'Test Library'!$A:$P,6,FALSE),"")</f>
        <v>High</v>
      </c>
      <c r="H65" s="14" t="inlineStr">
        <is>
          <t xml:space="preserve">Staging</t>
        </is>
      </c>
      <c r="I65" s="14" t="inlineStr">
        <is>
          <t xml:space="preserve">Not Run</t>
        </is>
      </c>
      <c r="J65" s="14"/>
      <c r="K65" s="17"/>
      <c r="L65" s="14"/>
      <c r="M65" s="14"/>
      <c r="N65" s="14"/>
      <c r="O65" s="14" t="inlineStr">
        <is>
          <t xml:space="preserve">Not Required</t>
        </is>
      </c>
      <c r="P65" s="14" t="str">
        <f>IFERROR(VLOOKUP($C65,'Test Library'!$A:$P,14,FALSE),"")</f>
        <v>Yes</v>
      </c>
      <c r="Q65" s="14"/>
    </row>
    <row r="66">
      <c r="A66" s="14" t="inlineStr">
        <is>
          <t xml:space="preserve">BETARUN-0065</t>
        </is>
      </c>
      <c r="B66" s="14" t="inlineStr">
        <is>
          <t xml:space="preserve">Beta Release</t>
        </is>
      </c>
      <c r="C66" s="14" t="inlineStr">
        <is>
          <t xml:space="preserve">RR-0065</t>
        </is>
      </c>
      <c r="D66" s="14" t="str">
        <f>IFERROR(VLOOKUP($C66,'Test Library'!$A:$P,2,FALSE),"")</f>
        <v>Employees &amp; Invitations</v>
      </c>
      <c r="E66" s="14" t="str">
        <f>IFERROR(VLOOKUP($C66,'Test Library'!$A:$P,3,FALSE),"")</f>
        <v>Invitations and joining</v>
      </c>
      <c r="F66" s="14" t="str">
        <f>IFERROR(VLOOKUP($C66,'Test Library'!$A:$P,5,FALSE),"")</f>
        <v>Use an invitation twice</v>
      </c>
      <c r="G66" s="14" t="str">
        <f>IFERROR(VLOOKUP($C66,'Test Library'!$A:$P,6,FALSE),"")</f>
        <v>High</v>
      </c>
      <c r="H66" s="14" t="inlineStr">
        <is>
          <t xml:space="preserve">Staging</t>
        </is>
      </c>
      <c r="I66" s="14" t="inlineStr">
        <is>
          <t xml:space="preserve">Not Run</t>
        </is>
      </c>
      <c r="J66" s="14"/>
      <c r="K66" s="17"/>
      <c r="L66" s="14"/>
      <c r="M66" s="14"/>
      <c r="N66" s="14"/>
      <c r="O66" s="14" t="inlineStr">
        <is>
          <t xml:space="preserve">Not Required</t>
        </is>
      </c>
      <c r="P66" s="14" t="str">
        <f>IFERROR(VLOOKUP($C66,'Test Library'!$A:$P,14,FALSE),"")</f>
        <v>Yes</v>
      </c>
      <c r="Q66" s="14"/>
    </row>
    <row r="67">
      <c r="A67" s="14" t="inlineStr">
        <is>
          <t xml:space="preserve">BETARUN-0066</t>
        </is>
      </c>
      <c r="B67" s="14" t="inlineStr">
        <is>
          <t xml:space="preserve">Beta Release</t>
        </is>
      </c>
      <c r="C67" s="14" t="inlineStr">
        <is>
          <t xml:space="preserve">RR-0066</t>
        </is>
      </c>
      <c r="D67" s="14" t="str">
        <f>IFERROR(VLOOKUP($C67,'Test Library'!$A:$P,2,FALSE),"")</f>
        <v>Employees &amp; Invitations</v>
      </c>
      <c r="E67" s="14" t="str">
        <f>IFERROR(VLOOKUP($C67,'Test Library'!$A:$P,3,FALSE),"")</f>
        <v>Invitations and joining</v>
      </c>
      <c r="F67" s="14" t="str">
        <f>IFERROR(VLOOKUP($C67,'Test Library'!$A:$P,5,FALSE),"")</f>
        <v>Forward an invitation to another email</v>
      </c>
      <c r="G67" s="14" t="str">
        <f>IFERROR(VLOOKUP($C67,'Test Library'!$A:$P,6,FALSE),"")</f>
        <v>Critical</v>
      </c>
      <c r="H67" s="14" t="inlineStr">
        <is>
          <t xml:space="preserve">Staging</t>
        </is>
      </c>
      <c r="I67" s="14" t="inlineStr">
        <is>
          <t xml:space="preserve">Not Run</t>
        </is>
      </c>
      <c r="J67" s="14"/>
      <c r="K67" s="17"/>
      <c r="L67" s="14"/>
      <c r="M67" s="14"/>
      <c r="N67" s="14"/>
      <c r="O67" s="14" t="inlineStr">
        <is>
          <t xml:space="preserve">Not Required</t>
        </is>
      </c>
      <c r="P67" s="14" t="str">
        <f>IFERROR(VLOOKUP($C67,'Test Library'!$A:$P,14,FALSE),"")</f>
        <v>Yes</v>
      </c>
      <c r="Q67" s="14"/>
    </row>
    <row r="68">
      <c r="A68" s="14" t="inlineStr">
        <is>
          <t xml:space="preserve">BETARUN-0067</t>
        </is>
      </c>
      <c r="B68" s="14" t="inlineStr">
        <is>
          <t xml:space="preserve">Beta Release</t>
        </is>
      </c>
      <c r="C68" s="14" t="inlineStr">
        <is>
          <t xml:space="preserve">RR-0067</t>
        </is>
      </c>
      <c r="D68" s="14" t="str">
        <f>IFERROR(VLOOKUP($C68,'Test Library'!$A:$P,2,FALSE),"")</f>
        <v>Employees &amp; Invitations</v>
      </c>
      <c r="E68" s="14" t="str">
        <f>IFERROR(VLOOKUP($C68,'Test Library'!$A:$P,3,FALSE),"")</f>
        <v>Invitations and joining</v>
      </c>
      <c r="F68" s="14" t="str">
        <f>IFERROR(VLOOKUP($C68,'Test Library'!$A:$P,5,FALSE),"")</f>
        <v>Resend an invitation</v>
      </c>
      <c r="G68" s="14" t="str">
        <f>IFERROR(VLOOKUP($C68,'Test Library'!$A:$P,6,FALSE),"")</f>
        <v>High</v>
      </c>
      <c r="H68" s="14" t="inlineStr">
        <is>
          <t xml:space="preserve">Staging</t>
        </is>
      </c>
      <c r="I68" s="14" t="inlineStr">
        <is>
          <t xml:space="preserve">Not Run</t>
        </is>
      </c>
      <c r="J68" s="14"/>
      <c r="K68" s="17"/>
      <c r="L68" s="14"/>
      <c r="M68" s="14"/>
      <c r="N68" s="14"/>
      <c r="O68" s="14" t="inlineStr">
        <is>
          <t xml:space="preserve">Not Required</t>
        </is>
      </c>
      <c r="P68" s="14" t="str">
        <f>IFERROR(VLOOKUP($C68,'Test Library'!$A:$P,14,FALSE),"")</f>
        <v>Yes</v>
      </c>
      <c r="Q68" s="14"/>
    </row>
    <row r="69">
      <c r="A69" s="14" t="inlineStr">
        <is>
          <t xml:space="preserve">BETARUN-0068</t>
        </is>
      </c>
      <c r="B69" s="14" t="inlineStr">
        <is>
          <t xml:space="preserve">Beta Release</t>
        </is>
      </c>
      <c r="C69" s="14" t="inlineStr">
        <is>
          <t xml:space="preserve">RR-0068</t>
        </is>
      </c>
      <c r="D69" s="14" t="str">
        <f>IFERROR(VLOOKUP($C69,'Test Library'!$A:$P,2,FALSE),"")</f>
        <v>Employees &amp; Invitations</v>
      </c>
      <c r="E69" s="14" t="str">
        <f>IFERROR(VLOOKUP($C69,'Test Library'!$A:$P,3,FALSE),"")</f>
        <v>Invitations and joining</v>
      </c>
      <c r="F69" s="14" t="str">
        <f>IFERROR(VLOOKUP($C69,'Test Library'!$A:$P,5,FALSE),"")</f>
        <v>Revoke a pending invitation</v>
      </c>
      <c r="G69" s="14" t="str">
        <f>IFERROR(VLOOKUP($C69,'Test Library'!$A:$P,6,FALSE),"")</f>
        <v>High</v>
      </c>
      <c r="H69" s="14" t="inlineStr">
        <is>
          <t xml:space="preserve">Staging</t>
        </is>
      </c>
      <c r="I69" s="14" t="inlineStr">
        <is>
          <t xml:space="preserve">Not Run</t>
        </is>
      </c>
      <c r="J69" s="14"/>
      <c r="K69" s="17"/>
      <c r="L69" s="14"/>
      <c r="M69" s="14"/>
      <c r="N69" s="14"/>
      <c r="O69" s="14" t="inlineStr">
        <is>
          <t xml:space="preserve">Not Required</t>
        </is>
      </c>
      <c r="P69" s="14" t="str">
        <f>IFERROR(VLOOKUP($C69,'Test Library'!$A:$P,14,FALSE),"")</f>
        <v>Yes</v>
      </c>
      <c r="Q69" s="14"/>
    </row>
    <row r="70">
      <c r="A70" s="14" t="inlineStr">
        <is>
          <t xml:space="preserve">BETARUN-0069</t>
        </is>
      </c>
      <c r="B70" s="14" t="inlineStr">
        <is>
          <t xml:space="preserve">Beta Release</t>
        </is>
      </c>
      <c r="C70" s="14" t="inlineStr">
        <is>
          <t xml:space="preserve">RR-0069</t>
        </is>
      </c>
      <c r="D70" s="14" t="str">
        <f>IFERROR(VLOOKUP($C70,'Test Library'!$A:$P,2,FALSE),"")</f>
        <v>Employees &amp; Invitations</v>
      </c>
      <c r="E70" s="14" t="str">
        <f>IFERROR(VLOOKUP($C70,'Test Library'!$A:$P,3,FALSE),"")</f>
        <v>Invitations and joining</v>
      </c>
      <c r="F70" s="14" t="str">
        <f>IFERROR(VLOOKUP($C70,'Test Library'!$A:$P,5,FALSE),"")</f>
        <v>Invite an employee to multiple locations</v>
      </c>
      <c r="G70" s="14" t="str">
        <f>IFERROR(VLOOKUP($C70,'Test Library'!$A:$P,6,FALSE),"")</f>
        <v>High</v>
      </c>
      <c r="H70" s="14" t="inlineStr">
        <is>
          <t xml:space="preserve">Staging</t>
        </is>
      </c>
      <c r="I70" s="14" t="inlineStr">
        <is>
          <t xml:space="preserve">Not Run</t>
        </is>
      </c>
      <c r="J70" s="14"/>
      <c r="K70" s="17"/>
      <c r="L70" s="14"/>
      <c r="M70" s="14"/>
      <c r="N70" s="14"/>
      <c r="O70" s="14" t="inlineStr">
        <is>
          <t xml:space="preserve">Not Required</t>
        </is>
      </c>
      <c r="P70" s="14" t="str">
        <f>IFERROR(VLOOKUP($C70,'Test Library'!$A:$P,14,FALSE),"")</f>
        <v>Yes</v>
      </c>
      <c r="Q70" s="14"/>
    </row>
    <row r="71">
      <c r="A71" s="14" t="inlineStr">
        <is>
          <t xml:space="preserve">BETARUN-0070</t>
        </is>
      </c>
      <c r="B71" s="14" t="inlineStr">
        <is>
          <t xml:space="preserve">Beta Release</t>
        </is>
      </c>
      <c r="C71" s="14" t="inlineStr">
        <is>
          <t xml:space="preserve">RR-0070</t>
        </is>
      </c>
      <c r="D71" s="14" t="str">
        <f>IFERROR(VLOOKUP($C71,'Test Library'!$A:$P,2,FALSE),"")</f>
        <v>Employees &amp; Invitations</v>
      </c>
      <c r="E71" s="14" t="str">
        <f>IFERROR(VLOOKUP($C71,'Test Library'!$A:$P,3,FALSE),"")</f>
        <v>Invitations and joining</v>
      </c>
      <c r="F71" s="14" t="str">
        <f>IFERROR(VLOOKUP($C71,'Test Library'!$A:$P,5,FALSE),"")</f>
        <v>Employee joins but has no assigned shift before billing date</v>
      </c>
      <c r="G71" s="14" t="str">
        <f>IFERROR(VLOOKUP($C71,'Test Library'!$A:$P,6,FALSE),"")</f>
        <v>Critical</v>
      </c>
      <c r="H71" s="14" t="inlineStr">
        <is>
          <t xml:space="preserve">Staging</t>
        </is>
      </c>
      <c r="I71" s="14" t="inlineStr">
        <is>
          <t xml:space="preserve">Not Run</t>
        </is>
      </c>
      <c r="J71" s="14"/>
      <c r="K71" s="17"/>
      <c r="L71" s="14"/>
      <c r="M71" s="14"/>
      <c r="N71" s="14"/>
      <c r="O71" s="14" t="inlineStr">
        <is>
          <t xml:space="preserve">Not Required</t>
        </is>
      </c>
      <c r="P71" s="14" t="str">
        <f>IFERROR(VLOOKUP($C71,'Test Library'!$A:$P,14,FALSE),"")</f>
        <v>Yes</v>
      </c>
      <c r="Q71" s="14"/>
    </row>
    <row r="72">
      <c r="A72" s="14" t="inlineStr">
        <is>
          <t xml:space="preserve">BETARUN-0071</t>
        </is>
      </c>
      <c r="B72" s="14" t="inlineStr">
        <is>
          <t xml:space="preserve">Beta Release</t>
        </is>
      </c>
      <c r="C72" s="14" t="inlineStr">
        <is>
          <t xml:space="preserve">RR-0071</t>
        </is>
      </c>
      <c r="D72" s="14" t="str">
        <f>IFERROR(VLOOKUP($C72,'Test Library'!$A:$P,2,FALSE),"")</f>
        <v>Employees &amp; Invitations</v>
      </c>
      <c r="E72" s="14" t="str">
        <f>IFERROR(VLOOKUP($C72,'Test Library'!$A:$P,3,FALSE),"")</f>
        <v>Invitations and joining</v>
      </c>
      <c r="F72" s="14" t="str">
        <f>IFERROR(VLOOKUP($C72,'Test Library'!$A:$P,5,FALSE),"")</f>
        <v>Employee joins late and receives a shift before billing date</v>
      </c>
      <c r="G72" s="14" t="str">
        <f>IFERROR(VLOOKUP($C72,'Test Library'!$A:$P,6,FALSE),"")</f>
        <v>Critical</v>
      </c>
      <c r="H72" s="14" t="inlineStr">
        <is>
          <t xml:space="preserve">Staging</t>
        </is>
      </c>
      <c r="I72" s="14" t="inlineStr">
        <is>
          <t xml:space="preserve">Not Run</t>
        </is>
      </c>
      <c r="J72" s="14"/>
      <c r="K72" s="17"/>
      <c r="L72" s="14"/>
      <c r="M72" s="14"/>
      <c r="N72" s="14"/>
      <c r="O72" s="14" t="inlineStr">
        <is>
          <t xml:space="preserve">Not Required</t>
        </is>
      </c>
      <c r="P72" s="14" t="str">
        <f>IFERROR(VLOOKUP($C72,'Test Library'!$A:$P,14,FALSE),"")</f>
        <v>Yes</v>
      </c>
      <c r="Q72" s="14"/>
    </row>
    <row r="73">
      <c r="A73" s="14" t="inlineStr">
        <is>
          <t xml:space="preserve">BETARUN-0072</t>
        </is>
      </c>
      <c r="B73" s="14" t="inlineStr">
        <is>
          <t xml:space="preserve">Beta Release</t>
        </is>
      </c>
      <c r="C73" s="14" t="inlineStr">
        <is>
          <t xml:space="preserve">RR-0072</t>
        </is>
      </c>
      <c r="D73" s="14" t="str">
        <f>IFERROR(VLOOKUP($C73,'Test Library'!$A:$P,2,FALSE),"")</f>
        <v>Employees &amp; Invitations</v>
      </c>
      <c r="E73" s="14" t="str">
        <f>IFERROR(VLOOKUP($C73,'Test Library'!$A:$P,3,FALSE),"")</f>
        <v>Invitations and joining</v>
      </c>
      <c r="F73" s="14" t="str">
        <f>IFERROR(VLOOKUP($C73,'Test Library'!$A:$P,5,FALSE),"")</f>
        <v>Former employee has no shifts since the last billing date</v>
      </c>
      <c r="G73" s="14" t="str">
        <f>IFERROR(VLOOKUP($C73,'Test Library'!$A:$P,6,FALSE),"")</f>
        <v>Critical</v>
      </c>
      <c r="H73" s="14" t="inlineStr">
        <is>
          <t xml:space="preserve">Staging</t>
        </is>
      </c>
      <c r="I73" s="14" t="inlineStr">
        <is>
          <t xml:space="preserve">Not Run</t>
        </is>
      </c>
      <c r="J73" s="14"/>
      <c r="K73" s="17"/>
      <c r="L73" s="14"/>
      <c r="M73" s="14"/>
      <c r="N73" s="14"/>
      <c r="O73" s="14" t="inlineStr">
        <is>
          <t xml:space="preserve">Not Required</t>
        </is>
      </c>
      <c r="P73" s="14" t="str">
        <f>IFERROR(VLOOKUP($C73,'Test Library'!$A:$P,14,FALSE),"")</f>
        <v>Yes</v>
      </c>
      <c r="Q73" s="14"/>
    </row>
    <row r="74">
      <c r="A74" s="14" t="inlineStr">
        <is>
          <t xml:space="preserve">BETARUN-0073</t>
        </is>
      </c>
      <c r="B74" s="14" t="inlineStr">
        <is>
          <t xml:space="preserve">Beta Release</t>
        </is>
      </c>
      <c r="C74" s="14" t="inlineStr">
        <is>
          <t xml:space="preserve">RR-0073</t>
        </is>
      </c>
      <c r="D74" s="14" t="str">
        <f>IFERROR(VLOOKUP($C74,'Test Library'!$A:$P,2,FALSE),"")</f>
        <v>Roles &amp; Permissions</v>
      </c>
      <c r="E74" s="14" t="str">
        <f>IFERROR(VLOOKUP($C74,'Test Library'!$A:$P,3,FALSE),"")</f>
        <v>Role enforcement</v>
      </c>
      <c r="F74" s="14" t="str">
        <f>IFERROR(VLOOKUP($C74,'Test Library'!$A:$P,5,FALSE),"")</f>
        <v>Owner accesses organisation billing and all locations</v>
      </c>
      <c r="G74" s="14" t="str">
        <f>IFERROR(VLOOKUP($C74,'Test Library'!$A:$P,6,FALSE),"")</f>
        <v>Critical</v>
      </c>
      <c r="H74" s="14" t="inlineStr">
        <is>
          <t xml:space="preserve">Staging</t>
        </is>
      </c>
      <c r="I74" s="14" t="inlineStr">
        <is>
          <t xml:space="preserve">Not Run</t>
        </is>
      </c>
      <c r="J74" s="14"/>
      <c r="K74" s="17"/>
      <c r="L74" s="14"/>
      <c r="M74" s="14"/>
      <c r="N74" s="14"/>
      <c r="O74" s="14" t="inlineStr">
        <is>
          <t xml:space="preserve">Not Required</t>
        </is>
      </c>
      <c r="P74" s="14" t="str">
        <f>IFERROR(VLOOKUP($C74,'Test Library'!$A:$P,14,FALSE),"")</f>
        <v>Yes</v>
      </c>
      <c r="Q74" s="14"/>
    </row>
    <row r="75">
      <c r="A75" s="14" t="inlineStr">
        <is>
          <t xml:space="preserve">BETARUN-0074</t>
        </is>
      </c>
      <c r="B75" s="14" t="inlineStr">
        <is>
          <t xml:space="preserve">Beta Release</t>
        </is>
      </c>
      <c r="C75" s="14" t="inlineStr">
        <is>
          <t xml:space="preserve">RR-0074</t>
        </is>
      </c>
      <c r="D75" s="14" t="str">
        <f>IFERROR(VLOOKUP($C75,'Test Library'!$A:$P,2,FALSE),"")</f>
        <v>Roles &amp; Permissions</v>
      </c>
      <c r="E75" s="14" t="str">
        <f>IFERROR(VLOOKUP($C75,'Test Library'!$A:$P,3,FALSE),"")</f>
        <v>Role enforcement</v>
      </c>
      <c r="F75" s="14" t="str">
        <f>IFERROR(VLOOKUP($C75,'Test Library'!$A:$P,5,FALSE),"")</f>
        <v>Organisation admin manages locations but not owner-only actions</v>
      </c>
      <c r="G75" s="14" t="str">
        <f>IFERROR(VLOOKUP($C75,'Test Library'!$A:$P,6,FALSE),"")</f>
        <v>Critical</v>
      </c>
      <c r="H75" s="14" t="inlineStr">
        <is>
          <t xml:space="preserve">Staging</t>
        </is>
      </c>
      <c r="I75" s="14" t="inlineStr">
        <is>
          <t xml:space="preserve">Not Run</t>
        </is>
      </c>
      <c r="J75" s="14"/>
      <c r="K75" s="17"/>
      <c r="L75" s="14"/>
      <c r="M75" s="14"/>
      <c r="N75" s="14"/>
      <c r="O75" s="14" t="inlineStr">
        <is>
          <t xml:space="preserve">Not Required</t>
        </is>
      </c>
      <c r="P75" s="14" t="str">
        <f>IFERROR(VLOOKUP($C75,'Test Library'!$A:$P,14,FALSE),"")</f>
        <v>Yes</v>
      </c>
      <c r="Q75" s="14"/>
    </row>
    <row r="76">
      <c r="A76" s="14" t="inlineStr">
        <is>
          <t xml:space="preserve">BETARUN-0075</t>
        </is>
      </c>
      <c r="B76" s="14" t="inlineStr">
        <is>
          <t xml:space="preserve">Beta Release</t>
        </is>
      </c>
      <c r="C76" s="14" t="inlineStr">
        <is>
          <t xml:space="preserve">RR-0075</t>
        </is>
      </c>
      <c r="D76" s="14" t="str">
        <f>IFERROR(VLOOKUP($C76,'Test Library'!$A:$P,2,FALSE),"")</f>
        <v>Roles &amp; Permissions</v>
      </c>
      <c r="E76" s="14" t="str">
        <f>IFERROR(VLOOKUP($C76,'Test Library'!$A:$P,3,FALSE),"")</f>
        <v>Role enforcement</v>
      </c>
      <c r="F76" s="14" t="str">
        <f>IFERROR(VLOOKUP($C76,'Test Library'!$A:$P,5,FALSE),"")</f>
        <v>Location manager accesses only assigned locations</v>
      </c>
      <c r="G76" s="14" t="str">
        <f>IFERROR(VLOOKUP($C76,'Test Library'!$A:$P,6,FALSE),"")</f>
        <v>Critical</v>
      </c>
      <c r="H76" s="14" t="inlineStr">
        <is>
          <t xml:space="preserve">Staging</t>
        </is>
      </c>
      <c r="I76" s="14" t="inlineStr">
        <is>
          <t xml:space="preserve">Not Run</t>
        </is>
      </c>
      <c r="J76" s="14"/>
      <c r="K76" s="17"/>
      <c r="L76" s="14"/>
      <c r="M76" s="14"/>
      <c r="N76" s="14"/>
      <c r="O76" s="14" t="inlineStr">
        <is>
          <t xml:space="preserve">Not Required</t>
        </is>
      </c>
      <c r="P76" s="14" t="str">
        <f>IFERROR(VLOOKUP($C76,'Test Library'!$A:$P,14,FALSE),"")</f>
        <v>Yes</v>
      </c>
      <c r="Q76" s="14"/>
    </row>
    <row r="77">
      <c r="A77" s="14" t="inlineStr">
        <is>
          <t xml:space="preserve">BETARUN-0076</t>
        </is>
      </c>
      <c r="B77" s="14" t="inlineStr">
        <is>
          <t xml:space="preserve">Beta Release</t>
        </is>
      </c>
      <c r="C77" s="14" t="inlineStr">
        <is>
          <t xml:space="preserve">RR-0076</t>
        </is>
      </c>
      <c r="D77" s="14" t="str">
        <f>IFERROR(VLOOKUP($C77,'Test Library'!$A:$P,2,FALSE),"")</f>
        <v>Roles &amp; Permissions</v>
      </c>
      <c r="E77" s="14" t="str">
        <f>IFERROR(VLOOKUP($C77,'Test Library'!$A:$P,3,FALSE),"")</f>
        <v>Role enforcement</v>
      </c>
      <c r="F77" s="14" t="str">
        <f>IFERROR(VLOOKUP($C77,'Test Library'!$A:$P,5,FALSE),"")</f>
        <v>Employee opens the rota builder URL directly</v>
      </c>
      <c r="G77" s="14" t="str">
        <f>IFERROR(VLOOKUP($C77,'Test Library'!$A:$P,6,FALSE),"")</f>
        <v>Critical</v>
      </c>
      <c r="H77" s="14" t="inlineStr">
        <is>
          <t xml:space="preserve">Staging</t>
        </is>
      </c>
      <c r="I77" s="14" t="inlineStr">
        <is>
          <t xml:space="preserve">Not Run</t>
        </is>
      </c>
      <c r="J77" s="14"/>
      <c r="K77" s="17"/>
      <c r="L77" s="14"/>
      <c r="M77" s="14"/>
      <c r="N77" s="14"/>
      <c r="O77" s="14" t="inlineStr">
        <is>
          <t xml:space="preserve">Not Required</t>
        </is>
      </c>
      <c r="P77" s="14" t="str">
        <f>IFERROR(VLOOKUP($C77,'Test Library'!$A:$P,14,FALSE),"")</f>
        <v>Yes</v>
      </c>
      <c r="Q77" s="14"/>
    </row>
    <row r="78">
      <c r="A78" s="14" t="inlineStr">
        <is>
          <t xml:space="preserve">BETARUN-0077</t>
        </is>
      </c>
      <c r="B78" s="14" t="inlineStr">
        <is>
          <t xml:space="preserve">Beta Release</t>
        </is>
      </c>
      <c r="C78" s="14" t="inlineStr">
        <is>
          <t xml:space="preserve">RR-0077</t>
        </is>
      </c>
      <c r="D78" s="14" t="str">
        <f>IFERROR(VLOOKUP($C78,'Test Library'!$A:$P,2,FALSE),"")</f>
        <v>Roles &amp; Permissions</v>
      </c>
      <c r="E78" s="14" t="str">
        <f>IFERROR(VLOOKUP($C78,'Test Library'!$A:$P,3,FALSE),"")</f>
        <v>Role enforcement</v>
      </c>
      <c r="F78" s="14" t="str">
        <f>IFERROR(VLOOKUP($C78,'Test Library'!$A:$P,5,FALSE),"")</f>
        <v>Employee edits another employee's profile through an API request</v>
      </c>
      <c r="G78" s="14" t="str">
        <f>IFERROR(VLOOKUP($C78,'Test Library'!$A:$P,6,FALSE),"")</f>
        <v>Critical</v>
      </c>
      <c r="H78" s="14" t="inlineStr">
        <is>
          <t xml:space="preserve">Staging</t>
        </is>
      </c>
      <c r="I78" s="14" t="inlineStr">
        <is>
          <t xml:space="preserve">Not Run</t>
        </is>
      </c>
      <c r="J78" s="14"/>
      <c r="K78" s="17"/>
      <c r="L78" s="14"/>
      <c r="M78" s="14"/>
      <c r="N78" s="14"/>
      <c r="O78" s="14" t="inlineStr">
        <is>
          <t xml:space="preserve">Not Required</t>
        </is>
      </c>
      <c r="P78" s="14" t="str">
        <f>IFERROR(VLOOKUP($C78,'Test Library'!$A:$P,14,FALSE),"")</f>
        <v>Yes</v>
      </c>
      <c r="Q78" s="14"/>
    </row>
    <row r="79">
      <c r="A79" s="14" t="inlineStr">
        <is>
          <t xml:space="preserve">BETARUN-0078</t>
        </is>
      </c>
      <c r="B79" s="14" t="inlineStr">
        <is>
          <t xml:space="preserve">Beta Release</t>
        </is>
      </c>
      <c r="C79" s="14" t="inlineStr">
        <is>
          <t xml:space="preserve">RR-0078</t>
        </is>
      </c>
      <c r="D79" s="14" t="str">
        <f>IFERROR(VLOOKUP($C79,'Test Library'!$A:$P,2,FALSE),"")</f>
        <v>Roles &amp; Permissions</v>
      </c>
      <c r="E79" s="14" t="str">
        <f>IFERROR(VLOOKUP($C79,'Test Library'!$A:$P,3,FALSE),"")</f>
        <v>Role enforcement</v>
      </c>
      <c r="F79" s="14" t="str">
        <f>IFERROR(VLOOKUP($C79,'Test Library'!$A:$P,5,FALSE),"")</f>
        <v>Manager creates and edits shifts</v>
      </c>
      <c r="G79" s="14" t="str">
        <f>IFERROR(VLOOKUP($C79,'Test Library'!$A:$P,6,FALSE),"")</f>
        <v>Critical</v>
      </c>
      <c r="H79" s="14" t="inlineStr">
        <is>
          <t xml:space="preserve">Staging</t>
        </is>
      </c>
      <c r="I79" s="14" t="inlineStr">
        <is>
          <t xml:space="preserve">Not Run</t>
        </is>
      </c>
      <c r="J79" s="14"/>
      <c r="K79" s="17"/>
      <c r="L79" s="14"/>
      <c r="M79" s="14"/>
      <c r="N79" s="14"/>
      <c r="O79" s="14" t="inlineStr">
        <is>
          <t xml:space="preserve">Not Required</t>
        </is>
      </c>
      <c r="P79" s="14" t="str">
        <f>IFERROR(VLOOKUP($C79,'Test Library'!$A:$P,14,FALSE),"")</f>
        <v>Yes</v>
      </c>
      <c r="Q79" s="14"/>
    </row>
    <row r="80">
      <c r="A80" s="14" t="inlineStr">
        <is>
          <t xml:space="preserve">BETARUN-0079</t>
        </is>
      </c>
      <c r="B80" s="14" t="inlineStr">
        <is>
          <t xml:space="preserve">Beta Release</t>
        </is>
      </c>
      <c r="C80" s="14" t="inlineStr">
        <is>
          <t xml:space="preserve">RR-0079</t>
        </is>
      </c>
      <c r="D80" s="14" t="str">
        <f>IFERROR(VLOOKUP($C80,'Test Library'!$A:$P,2,FALSE),"")</f>
        <v>Roles &amp; Permissions</v>
      </c>
      <c r="E80" s="14" t="str">
        <f>IFERROR(VLOOKUP($C80,'Test Library'!$A:$P,3,FALSE),"")</f>
        <v>Role enforcement</v>
      </c>
      <c r="F80" s="14" t="str">
        <f>IFERROR(VLOOKUP($C80,'Test Library'!$A:$P,5,FALSE),"")</f>
        <v>Manager attempts to change organisation billing</v>
      </c>
      <c r="G80" s="14" t="str">
        <f>IFERROR(VLOOKUP($C80,'Test Library'!$A:$P,6,FALSE),"")</f>
        <v>Critical</v>
      </c>
      <c r="H80" s="14" t="inlineStr">
        <is>
          <t xml:space="preserve">Staging</t>
        </is>
      </c>
      <c r="I80" s="14" t="inlineStr">
        <is>
          <t xml:space="preserve">Not Run</t>
        </is>
      </c>
      <c r="J80" s="14"/>
      <c r="K80" s="17"/>
      <c r="L80" s="14"/>
      <c r="M80" s="14"/>
      <c r="N80" s="14"/>
      <c r="O80" s="14" t="inlineStr">
        <is>
          <t xml:space="preserve">Not Required</t>
        </is>
      </c>
      <c r="P80" s="14" t="str">
        <f>IFERROR(VLOOKUP($C80,'Test Library'!$A:$P,14,FALSE),"")</f>
        <v>Yes</v>
      </c>
      <c r="Q80" s="14"/>
    </row>
    <row r="81">
      <c r="A81" s="14" t="inlineStr">
        <is>
          <t xml:space="preserve">BETARUN-0080</t>
        </is>
      </c>
      <c r="B81" s="14" t="inlineStr">
        <is>
          <t xml:space="preserve">Beta Release</t>
        </is>
      </c>
      <c r="C81" s="14" t="inlineStr">
        <is>
          <t xml:space="preserve">RR-0080</t>
        </is>
      </c>
      <c r="D81" s="14" t="str">
        <f>IFERROR(VLOOKUP($C81,'Test Library'!$A:$P,2,FALSE),"")</f>
        <v>Roles &amp; Permissions</v>
      </c>
      <c r="E81" s="14" t="str">
        <f>IFERROR(VLOOKUP($C81,'Test Library'!$A:$P,3,FALSE),"")</f>
        <v>Role enforcement</v>
      </c>
      <c r="F81" s="14" t="str">
        <f>IFERROR(VLOOKUP($C81,'Test Library'!$A:$P,5,FALSE),"")</f>
        <v>Manager publishes a rota without publish permission</v>
      </c>
      <c r="G81" s="14" t="str">
        <f>IFERROR(VLOOKUP($C81,'Test Library'!$A:$P,6,FALSE),"")</f>
        <v>High</v>
      </c>
      <c r="H81" s="14" t="inlineStr">
        <is>
          <t xml:space="preserve">Staging</t>
        </is>
      </c>
      <c r="I81" s="14" t="inlineStr">
        <is>
          <t xml:space="preserve">Not Run</t>
        </is>
      </c>
      <c r="J81" s="14"/>
      <c r="K81" s="17"/>
      <c r="L81" s="14"/>
      <c r="M81" s="14"/>
      <c r="N81" s="14"/>
      <c r="O81" s="14" t="inlineStr">
        <is>
          <t xml:space="preserve">Not Required</t>
        </is>
      </c>
      <c r="P81" s="14" t="str">
        <f>IFERROR(VLOOKUP($C81,'Test Library'!$A:$P,14,FALSE),"")</f>
        <v>Yes</v>
      </c>
      <c r="Q81" s="14"/>
    </row>
    <row r="82">
      <c r="A82" s="14" t="inlineStr">
        <is>
          <t xml:space="preserve">BETARUN-0081</t>
        </is>
      </c>
      <c r="B82" s="14" t="inlineStr">
        <is>
          <t xml:space="preserve">Beta Release</t>
        </is>
      </c>
      <c r="C82" s="14" t="inlineStr">
        <is>
          <t xml:space="preserve">RR-0081</t>
        </is>
      </c>
      <c r="D82" s="14" t="str">
        <f>IFERROR(VLOOKUP($C82,'Test Library'!$A:$P,2,FALSE),"")</f>
        <v>Roles &amp; Permissions</v>
      </c>
      <c r="E82" s="14" t="str">
        <f>IFERROR(VLOOKUP($C82,'Test Library'!$A:$P,3,FALSE),"")</f>
        <v>Role enforcement</v>
      </c>
      <c r="F82" s="14" t="str">
        <f>IFERROR(VLOOKUP($C82,'Test Library'!$A:$P,5,FALSE),"")</f>
        <v>Employee views private manager notes</v>
      </c>
      <c r="G82" s="14" t="str">
        <f>IFERROR(VLOOKUP($C82,'Test Library'!$A:$P,6,FALSE),"")</f>
        <v>Critical</v>
      </c>
      <c r="H82" s="14" t="inlineStr">
        <is>
          <t xml:space="preserve">Staging</t>
        </is>
      </c>
      <c r="I82" s="14" t="inlineStr">
        <is>
          <t xml:space="preserve">Not Run</t>
        </is>
      </c>
      <c r="J82" s="14"/>
      <c r="K82" s="17"/>
      <c r="L82" s="14"/>
      <c r="M82" s="14"/>
      <c r="N82" s="14"/>
      <c r="O82" s="14" t="inlineStr">
        <is>
          <t xml:space="preserve">Not Required</t>
        </is>
      </c>
      <c r="P82" s="14" t="str">
        <f>IFERROR(VLOOKUP($C82,'Test Library'!$A:$P,14,FALSE),"")</f>
        <v>Yes</v>
      </c>
      <c r="Q82" s="14"/>
    </row>
    <row r="83">
      <c r="A83" s="14" t="inlineStr">
        <is>
          <t xml:space="preserve">BETARUN-0082</t>
        </is>
      </c>
      <c r="B83" s="14" t="inlineStr">
        <is>
          <t xml:space="preserve">Beta Release</t>
        </is>
      </c>
      <c r="C83" s="14" t="inlineStr">
        <is>
          <t xml:space="preserve">RR-0082</t>
        </is>
      </c>
      <c r="D83" s="14" t="str">
        <f>IFERROR(VLOOKUP($C83,'Test Library'!$A:$P,2,FALSE),"")</f>
        <v>Roles &amp; Permissions</v>
      </c>
      <c r="E83" s="14" t="str">
        <f>IFERROR(VLOOKUP($C83,'Test Library'!$A:$P,3,FALSE),"")</f>
        <v>Role enforcement</v>
      </c>
      <c r="F83" s="14" t="str">
        <f>IFERROR(VLOOKUP($C83,'Test Library'!$A:$P,5,FALSE),"")</f>
        <v>Cross-location manager schedules an employee from another allowed location</v>
      </c>
      <c r="G83" s="14" t="str">
        <f>IFERROR(VLOOKUP($C83,'Test Library'!$A:$P,6,FALSE),"")</f>
        <v>High</v>
      </c>
      <c r="H83" s="14" t="inlineStr">
        <is>
          <t xml:space="preserve">Staging</t>
        </is>
      </c>
      <c r="I83" s="14" t="inlineStr">
        <is>
          <t xml:space="preserve">Not Run</t>
        </is>
      </c>
      <c r="J83" s="14"/>
      <c r="K83" s="17"/>
      <c r="L83" s="14"/>
      <c r="M83" s="14"/>
      <c r="N83" s="14"/>
      <c r="O83" s="14" t="inlineStr">
        <is>
          <t xml:space="preserve">Not Required</t>
        </is>
      </c>
      <c r="P83" s="14" t="str">
        <f>IFERROR(VLOOKUP($C83,'Test Library'!$A:$P,14,FALSE),"")</f>
        <v>Yes</v>
      </c>
      <c r="Q83" s="14"/>
    </row>
    <row r="84">
      <c r="A84" s="14" t="inlineStr">
        <is>
          <t xml:space="preserve">BETARUN-0083</t>
        </is>
      </c>
      <c r="B84" s="14" t="inlineStr">
        <is>
          <t xml:space="preserve">Beta Release</t>
        </is>
      </c>
      <c r="C84" s="14" t="inlineStr">
        <is>
          <t xml:space="preserve">RR-0083</t>
        </is>
      </c>
      <c r="D84" s="14" t="str">
        <f>IFERROR(VLOOKUP($C84,'Test Library'!$A:$P,2,FALSE),"")</f>
        <v>Roles &amp; Permissions</v>
      </c>
      <c r="E84" s="14" t="str">
        <f>IFERROR(VLOOKUP($C84,'Test Library'!$A:$P,3,FALSE),"")</f>
        <v>Role enforcement</v>
      </c>
      <c r="F84" s="14" t="str">
        <f>IFERROR(VLOOKUP($C84,'Test Library'!$A:$P,5,FALSE),"")</f>
        <v>Remove a user's manager role during an active session</v>
      </c>
      <c r="G84" s="14" t="str">
        <f>IFERROR(VLOOKUP($C84,'Test Library'!$A:$P,6,FALSE),"")</f>
        <v>Critical</v>
      </c>
      <c r="H84" s="14" t="inlineStr">
        <is>
          <t xml:space="preserve">Staging</t>
        </is>
      </c>
      <c r="I84" s="14" t="inlineStr">
        <is>
          <t xml:space="preserve">Not Run</t>
        </is>
      </c>
      <c r="J84" s="14"/>
      <c r="K84" s="17"/>
      <c r="L84" s="14"/>
      <c r="M84" s="14"/>
      <c r="N84" s="14"/>
      <c r="O84" s="14" t="inlineStr">
        <is>
          <t xml:space="preserve">Not Required</t>
        </is>
      </c>
      <c r="P84" s="14" t="str">
        <f>IFERROR(VLOOKUP($C84,'Test Library'!$A:$P,14,FALSE),"")</f>
        <v>Yes</v>
      </c>
      <c r="Q84" s="14"/>
    </row>
    <row r="85">
      <c r="A85" s="14" t="inlineStr">
        <is>
          <t xml:space="preserve">BETARUN-0084</t>
        </is>
      </c>
      <c r="B85" s="14" t="inlineStr">
        <is>
          <t xml:space="preserve">Beta Release</t>
        </is>
      </c>
      <c r="C85" s="14" t="inlineStr">
        <is>
          <t xml:space="preserve">RR-0084</t>
        </is>
      </c>
      <c r="D85" s="14" t="str">
        <f>IFERROR(VLOOKUP($C85,'Test Library'!$A:$P,2,FALSE),"")</f>
        <v>Roles &amp; Permissions</v>
      </c>
      <c r="E85" s="14" t="str">
        <f>IFERROR(VLOOKUP($C85,'Test Library'!$A:$P,3,FALSE),"")</f>
        <v>Role enforcement</v>
      </c>
      <c r="F85" s="14" t="str">
        <f>IFERROR(VLOOKUP($C85,'Test Library'!$A:$P,5,FALSE),"")</f>
        <v>Change a user's role while they have unsaved edits</v>
      </c>
      <c r="G85" s="14" t="str">
        <f>IFERROR(VLOOKUP($C85,'Test Library'!$A:$P,6,FALSE),"")</f>
        <v>High</v>
      </c>
      <c r="H85" s="14" t="inlineStr">
        <is>
          <t xml:space="preserve">Staging</t>
        </is>
      </c>
      <c r="I85" s="14" t="inlineStr">
        <is>
          <t xml:space="preserve">Not Run</t>
        </is>
      </c>
      <c r="J85" s="14"/>
      <c r="K85" s="17"/>
      <c r="L85" s="14"/>
      <c r="M85" s="14"/>
      <c r="N85" s="14"/>
      <c r="O85" s="14" t="inlineStr">
        <is>
          <t xml:space="preserve">Not Required</t>
        </is>
      </c>
      <c r="P85" s="14" t="str">
        <f>IFERROR(VLOOKUP($C85,'Test Library'!$A:$P,14,FALSE),"")</f>
        <v>Yes</v>
      </c>
      <c r="Q85" s="14"/>
    </row>
    <row r="86">
      <c r="A86" s="14" t="inlineStr">
        <is>
          <t xml:space="preserve">BETARUN-0085</t>
        </is>
      </c>
      <c r="B86" s="14" t="inlineStr">
        <is>
          <t xml:space="preserve">Beta Release</t>
        </is>
      </c>
      <c r="C86" s="14" t="inlineStr">
        <is>
          <t xml:space="preserve">RR-0085</t>
        </is>
      </c>
      <c r="D86" s="14" t="str">
        <f>IFERROR(VLOOKUP($C86,'Test Library'!$A:$P,2,FALSE),"")</f>
        <v>Roles &amp; Permissions</v>
      </c>
      <c r="E86" s="14" t="str">
        <f>IFERROR(VLOOKUP($C86,'Test Library'!$A:$P,3,FALSE),"")</f>
        <v>Role enforcement</v>
      </c>
      <c r="F86" s="14" t="str">
        <f>IFERROR(VLOOKUP($C86,'Test Library'!$A:$P,5,FALSE),"")</f>
        <v>Owner transfers organisation ownership</v>
      </c>
      <c r="G86" s="14" t="str">
        <f>IFERROR(VLOOKUP($C86,'Test Library'!$A:$P,6,FALSE),"")</f>
        <v>Critical</v>
      </c>
      <c r="H86" s="14" t="inlineStr">
        <is>
          <t xml:space="preserve">Staging</t>
        </is>
      </c>
      <c r="I86" s="14" t="inlineStr">
        <is>
          <t xml:space="preserve">Not Run</t>
        </is>
      </c>
      <c r="J86" s="14"/>
      <c r="K86" s="17"/>
      <c r="L86" s="14"/>
      <c r="M86" s="14"/>
      <c r="N86" s="14"/>
      <c r="O86" s="14" t="inlineStr">
        <is>
          <t xml:space="preserve">Not Required</t>
        </is>
      </c>
      <c r="P86" s="14" t="str">
        <f>IFERROR(VLOOKUP($C86,'Test Library'!$A:$P,14,FALSE),"")</f>
        <v>Yes</v>
      </c>
      <c r="Q86" s="14"/>
    </row>
    <row r="87">
      <c r="A87" s="14" t="inlineStr">
        <is>
          <t xml:space="preserve">BETARUN-0086</t>
        </is>
      </c>
      <c r="B87" s="14" t="inlineStr">
        <is>
          <t xml:space="preserve">Beta Release</t>
        </is>
      </c>
      <c r="C87" s="14" t="inlineStr">
        <is>
          <t xml:space="preserve">RR-0086</t>
        </is>
      </c>
      <c r="D87" s="14" t="str">
        <f>IFERROR(VLOOKUP($C87,'Test Library'!$A:$P,2,FALSE),"")</f>
        <v>Roles &amp; Permissions</v>
      </c>
      <c r="E87" s="14" t="str">
        <f>IFERROR(VLOOKUP($C87,'Test Library'!$A:$P,3,FALSE),"")</f>
        <v>Role enforcement</v>
      </c>
      <c r="F87" s="14" t="str">
        <f>IFERROR(VLOOKUP($C87,'Test Library'!$A:$P,5,FALSE),"")</f>
        <v>Last owner attempts to leave the organisation</v>
      </c>
      <c r="G87" s="14" t="str">
        <f>IFERROR(VLOOKUP($C87,'Test Library'!$A:$P,6,FALSE),"")</f>
        <v>Critical</v>
      </c>
      <c r="H87" s="14" t="inlineStr">
        <is>
          <t xml:space="preserve">Staging</t>
        </is>
      </c>
      <c r="I87" s="14" t="inlineStr">
        <is>
          <t xml:space="preserve">Not Run</t>
        </is>
      </c>
      <c r="J87" s="14"/>
      <c r="K87" s="17"/>
      <c r="L87" s="14"/>
      <c r="M87" s="14"/>
      <c r="N87" s="14"/>
      <c r="O87" s="14" t="inlineStr">
        <is>
          <t xml:space="preserve">Not Required</t>
        </is>
      </c>
      <c r="P87" s="14" t="str">
        <f>IFERROR(VLOOKUP($C87,'Test Library'!$A:$P,14,FALSE),"")</f>
        <v>Yes</v>
      </c>
      <c r="Q87" s="14"/>
    </row>
    <row r="88">
      <c r="A88" s="14" t="inlineStr">
        <is>
          <t xml:space="preserve">BETARUN-0087</t>
        </is>
      </c>
      <c r="B88" s="14" t="inlineStr">
        <is>
          <t xml:space="preserve">Beta Release</t>
        </is>
      </c>
      <c r="C88" s="14" t="inlineStr">
        <is>
          <t xml:space="preserve">RR-0087</t>
        </is>
      </c>
      <c r="D88" s="14" t="str">
        <f>IFERROR(VLOOKUP($C88,'Test Library'!$A:$P,2,FALSE),"")</f>
        <v>Roles &amp; Permissions</v>
      </c>
      <c r="E88" s="14" t="str">
        <f>IFERROR(VLOOKUP($C88,'Test Library'!$A:$P,3,FALSE),"")</f>
        <v>Role enforcement</v>
      </c>
      <c r="F88" s="14" t="str">
        <f>IFERROR(VLOOKUP($C88,'Test Library'!$A:$P,5,FALSE),"")</f>
        <v>Support admin impersonates a customer with authorisation</v>
      </c>
      <c r="G88" s="14" t="str">
        <f>IFERROR(VLOOKUP($C88,'Test Library'!$A:$P,6,FALSE),"")</f>
        <v>Critical</v>
      </c>
      <c r="H88" s="14" t="inlineStr">
        <is>
          <t xml:space="preserve">Staging</t>
        </is>
      </c>
      <c r="I88" s="14" t="inlineStr">
        <is>
          <t xml:space="preserve">Not Run</t>
        </is>
      </c>
      <c r="J88" s="14"/>
      <c r="K88" s="17"/>
      <c r="L88" s="14"/>
      <c r="M88" s="14"/>
      <c r="N88" s="14"/>
      <c r="O88" s="14" t="inlineStr">
        <is>
          <t xml:space="preserve">Not Required</t>
        </is>
      </c>
      <c r="P88" s="14" t="str">
        <f>IFERROR(VLOOKUP($C88,'Test Library'!$A:$P,14,FALSE),"")</f>
        <v>Yes</v>
      </c>
      <c r="Q88" s="14"/>
    </row>
    <row r="89">
      <c r="A89" s="14" t="inlineStr">
        <is>
          <t xml:space="preserve">BETARUN-0088</t>
        </is>
      </c>
      <c r="B89" s="14" t="inlineStr">
        <is>
          <t xml:space="preserve">Beta Release</t>
        </is>
      </c>
      <c r="C89" s="14" t="inlineStr">
        <is>
          <t xml:space="preserve">RR-0088</t>
        </is>
      </c>
      <c r="D89" s="14" t="str">
        <f>IFERROR(VLOOKUP($C89,'Test Library'!$A:$P,2,FALSE),"")</f>
        <v>Roles &amp; Permissions</v>
      </c>
      <c r="E89" s="14" t="str">
        <f>IFERROR(VLOOKUP($C89,'Test Library'!$A:$P,3,FALSE),"")</f>
        <v>Role enforcement</v>
      </c>
      <c r="F89" s="14" t="str">
        <f>IFERROR(VLOOKUP($C89,'Test Library'!$A:$P,5,FALSE),"")</f>
        <v>Support admin attempts an action excluded from impersonation</v>
      </c>
      <c r="G89" s="14" t="str">
        <f>IFERROR(VLOOKUP($C89,'Test Library'!$A:$P,6,FALSE),"")</f>
        <v>Critical</v>
      </c>
      <c r="H89" s="14" t="inlineStr">
        <is>
          <t xml:space="preserve">Staging</t>
        </is>
      </c>
      <c r="I89" s="14" t="inlineStr">
        <is>
          <t xml:space="preserve">Not Run</t>
        </is>
      </c>
      <c r="J89" s="14"/>
      <c r="K89" s="17"/>
      <c r="L89" s="14"/>
      <c r="M89" s="14"/>
      <c r="N89" s="14"/>
      <c r="O89" s="14" t="inlineStr">
        <is>
          <t xml:space="preserve">Not Required</t>
        </is>
      </c>
      <c r="P89" s="14" t="str">
        <f>IFERROR(VLOOKUP($C89,'Test Library'!$A:$P,14,FALSE),"")</f>
        <v>Yes</v>
      </c>
      <c r="Q89" s="14"/>
    </row>
    <row r="90">
      <c r="A90" s="14" t="inlineStr">
        <is>
          <t xml:space="preserve">BETARUN-0089</t>
        </is>
      </c>
      <c r="B90" s="14" t="inlineStr">
        <is>
          <t xml:space="preserve">Beta Release</t>
        </is>
      </c>
      <c r="C90" s="14" t="inlineStr">
        <is>
          <t xml:space="preserve">RR-0089</t>
        </is>
      </c>
      <c r="D90" s="14" t="str">
        <f>IFERROR(VLOOKUP($C90,'Test Library'!$A:$P,2,FALSE),"")</f>
        <v>Availability</v>
      </c>
      <c r="E90" s="14" t="str">
        <f>IFERROR(VLOOKUP($C90,'Test Library'!$A:$P,3,FALSE),"")</f>
        <v>Employee availability</v>
      </c>
      <c r="F90" s="14" t="str">
        <f>IFERROR(VLOOKUP($C90,'Test Library'!$A:$P,5,FALSE),"")</f>
        <v>Employee submits a recurring unavailable Saturday</v>
      </c>
      <c r="G90" s="14" t="str">
        <f>IFERROR(VLOOKUP($C90,'Test Library'!$A:$P,6,FALSE),"")</f>
        <v>High</v>
      </c>
      <c r="H90" s="14" t="inlineStr">
        <is>
          <t xml:space="preserve">Staging</t>
        </is>
      </c>
      <c r="I90" s="14" t="inlineStr">
        <is>
          <t xml:space="preserve">Not Run</t>
        </is>
      </c>
      <c r="J90" s="14"/>
      <c r="K90" s="17"/>
      <c r="L90" s="14"/>
      <c r="M90" s="14"/>
      <c r="N90" s="14"/>
      <c r="O90" s="14" t="inlineStr">
        <is>
          <t xml:space="preserve">Not Required</t>
        </is>
      </c>
      <c r="P90" s="14" t="str">
        <f>IFERROR(VLOOKUP($C90,'Test Library'!$A:$P,14,FALSE),"")</f>
        <v>Yes</v>
      </c>
      <c r="Q90" s="14"/>
    </row>
    <row r="91">
      <c r="A91" s="14" t="inlineStr">
        <is>
          <t xml:space="preserve">BETARUN-0090</t>
        </is>
      </c>
      <c r="B91" s="14" t="inlineStr">
        <is>
          <t xml:space="preserve">Beta Release</t>
        </is>
      </c>
      <c r="C91" s="14" t="inlineStr">
        <is>
          <t xml:space="preserve">RR-0090</t>
        </is>
      </c>
      <c r="D91" s="14" t="str">
        <f>IFERROR(VLOOKUP($C91,'Test Library'!$A:$P,2,FALSE),"")</f>
        <v>Availability</v>
      </c>
      <c r="E91" s="14" t="str">
        <f>IFERROR(VLOOKUP($C91,'Test Library'!$A:$P,3,FALSE),"")</f>
        <v>Employee availability</v>
      </c>
      <c r="F91" s="14" t="str">
        <f>IFERROR(VLOOKUP($C91,'Test Library'!$A:$P,5,FALSE),"")</f>
        <v>Employee submits a one-off unavailable date</v>
      </c>
      <c r="G91" s="14" t="str">
        <f>IFERROR(VLOOKUP($C91,'Test Library'!$A:$P,6,FALSE),"")</f>
        <v>High</v>
      </c>
      <c r="H91" s="14" t="inlineStr">
        <is>
          <t xml:space="preserve">Staging</t>
        </is>
      </c>
      <c r="I91" s="14" t="inlineStr">
        <is>
          <t xml:space="preserve">Not Run</t>
        </is>
      </c>
      <c r="J91" s="14"/>
      <c r="K91" s="17"/>
      <c r="L91" s="14"/>
      <c r="M91" s="14"/>
      <c r="N91" s="14"/>
      <c r="O91" s="14" t="inlineStr">
        <is>
          <t xml:space="preserve">Not Required</t>
        </is>
      </c>
      <c r="P91" s="14" t="str">
        <f>IFERROR(VLOOKUP($C91,'Test Library'!$A:$P,14,FALSE),"")</f>
        <v>Yes</v>
      </c>
      <c r="Q91" s="14"/>
    </row>
    <row r="92">
      <c r="A92" s="14" t="inlineStr">
        <is>
          <t xml:space="preserve">BETARUN-0091</t>
        </is>
      </c>
      <c r="B92" s="14" t="inlineStr">
        <is>
          <t xml:space="preserve">Beta Release</t>
        </is>
      </c>
      <c r="C92" s="14" t="inlineStr">
        <is>
          <t xml:space="preserve">RR-0091</t>
        </is>
      </c>
      <c r="D92" s="14" t="str">
        <f>IFERROR(VLOOKUP($C92,'Test Library'!$A:$P,2,FALSE),"")</f>
        <v>Availability</v>
      </c>
      <c r="E92" s="14" t="str">
        <f>IFERROR(VLOOKUP($C92,'Test Library'!$A:$P,3,FALSE),"")</f>
        <v>Employee availability</v>
      </c>
      <c r="F92" s="14" t="str">
        <f>IFERROR(VLOOKUP($C92,'Test Library'!$A:$P,5,FALSE),"")</f>
        <v>Employee edits an availability rule</v>
      </c>
      <c r="G92" s="14" t="str">
        <f>IFERROR(VLOOKUP($C92,'Test Library'!$A:$P,6,FALSE),"")</f>
        <v>Medium</v>
      </c>
      <c r="H92" s="14" t="inlineStr">
        <is>
          <t xml:space="preserve">Staging</t>
        </is>
      </c>
      <c r="I92" s="14" t="inlineStr">
        <is>
          <t xml:space="preserve">Not Run</t>
        </is>
      </c>
      <c r="J92" s="14"/>
      <c r="K92" s="17"/>
      <c r="L92" s="14"/>
      <c r="M92" s="14"/>
      <c r="N92" s="14"/>
      <c r="O92" s="14" t="inlineStr">
        <is>
          <t xml:space="preserve">Not Required</t>
        </is>
      </c>
      <c r="P92" s="14" t="str">
        <f>IFERROR(VLOOKUP($C92,'Test Library'!$A:$P,14,FALSE),"")</f>
        <v>No</v>
      </c>
      <c r="Q92" s="14"/>
    </row>
    <row r="93">
      <c r="A93" s="14" t="inlineStr">
        <is>
          <t xml:space="preserve">BETARUN-0092</t>
        </is>
      </c>
      <c r="B93" s="14" t="inlineStr">
        <is>
          <t xml:space="preserve">Beta Release</t>
        </is>
      </c>
      <c r="C93" s="14" t="inlineStr">
        <is>
          <t xml:space="preserve">RR-0092</t>
        </is>
      </c>
      <c r="D93" s="14" t="str">
        <f>IFERROR(VLOOKUP($C93,'Test Library'!$A:$P,2,FALSE),"")</f>
        <v>Availability</v>
      </c>
      <c r="E93" s="14" t="str">
        <f>IFERROR(VLOOKUP($C93,'Test Library'!$A:$P,3,FALSE),"")</f>
        <v>Employee availability</v>
      </c>
      <c r="F93" s="14" t="str">
        <f>IFERROR(VLOOKUP($C93,'Test Library'!$A:$P,5,FALSE),"")</f>
        <v>Employee deletes an availability rule</v>
      </c>
      <c r="G93" s="14" t="str">
        <f>IFERROR(VLOOKUP($C93,'Test Library'!$A:$P,6,FALSE),"")</f>
        <v>Medium</v>
      </c>
      <c r="H93" s="14" t="inlineStr">
        <is>
          <t xml:space="preserve">Staging</t>
        </is>
      </c>
      <c r="I93" s="14" t="inlineStr">
        <is>
          <t xml:space="preserve">Not Run</t>
        </is>
      </c>
      <c r="J93" s="14"/>
      <c r="K93" s="17"/>
      <c r="L93" s="14"/>
      <c r="M93" s="14"/>
      <c r="N93" s="14"/>
      <c r="O93" s="14" t="inlineStr">
        <is>
          <t xml:space="preserve">Not Required</t>
        </is>
      </c>
      <c r="P93" s="14" t="str">
        <f>IFERROR(VLOOKUP($C93,'Test Library'!$A:$P,14,FALSE),"")</f>
        <v>No</v>
      </c>
      <c r="Q93" s="14"/>
    </row>
    <row r="94">
      <c r="A94" s="14" t="inlineStr">
        <is>
          <t xml:space="preserve">BETARUN-0093</t>
        </is>
      </c>
      <c r="B94" s="14" t="inlineStr">
        <is>
          <t xml:space="preserve">Beta Release</t>
        </is>
      </c>
      <c r="C94" s="14" t="inlineStr">
        <is>
          <t xml:space="preserve">RR-0093</t>
        </is>
      </c>
      <c r="D94" s="14" t="str">
        <f>IFERROR(VLOOKUP($C94,'Test Library'!$A:$P,2,FALSE),"")</f>
        <v>Availability</v>
      </c>
      <c r="E94" s="14" t="str">
        <f>IFERROR(VLOOKUP($C94,'Test Library'!$A:$P,3,FALSE),"")</f>
        <v>Employee availability</v>
      </c>
      <c r="F94" s="14" t="str">
        <f>IFERROR(VLOOKUP($C94,'Test Library'!$A:$P,5,FALSE),"")</f>
        <v>Create overlapping availability rules</v>
      </c>
      <c r="G94" s="14" t="str">
        <f>IFERROR(VLOOKUP($C94,'Test Library'!$A:$P,6,FALSE),"")</f>
        <v>Medium</v>
      </c>
      <c r="H94" s="14" t="inlineStr">
        <is>
          <t xml:space="preserve">Staging</t>
        </is>
      </c>
      <c r="I94" s="14" t="inlineStr">
        <is>
          <t xml:space="preserve">Not Run</t>
        </is>
      </c>
      <c r="J94" s="14"/>
      <c r="K94" s="17"/>
      <c r="L94" s="14"/>
      <c r="M94" s="14"/>
      <c r="N94" s="14"/>
      <c r="O94" s="14" t="inlineStr">
        <is>
          <t xml:space="preserve">Not Required</t>
        </is>
      </c>
      <c r="P94" s="14" t="str">
        <f>IFERROR(VLOOKUP($C94,'Test Library'!$A:$P,14,FALSE),"")</f>
        <v>No</v>
      </c>
      <c r="Q94" s="14"/>
    </row>
    <row r="95">
      <c r="A95" s="14" t="inlineStr">
        <is>
          <t xml:space="preserve">BETARUN-0094</t>
        </is>
      </c>
      <c r="B95" s="14" t="inlineStr">
        <is>
          <t xml:space="preserve">Beta Release</t>
        </is>
      </c>
      <c r="C95" s="14" t="inlineStr">
        <is>
          <t xml:space="preserve">RR-0094</t>
        </is>
      </c>
      <c r="D95" s="14" t="str">
        <f>IFERROR(VLOOKUP($C95,'Test Library'!$A:$P,2,FALSE),"")</f>
        <v>Availability</v>
      </c>
      <c r="E95" s="14" t="str">
        <f>IFERROR(VLOOKUP($C95,'Test Library'!$A:$P,3,FALSE),"")</f>
        <v>Employee availability</v>
      </c>
      <c r="F95" s="14" t="str">
        <f>IFERROR(VLOOKUP($C95,'Test Library'!$A:$P,5,FALSE),"")</f>
        <v>Submit an end time before the start time</v>
      </c>
      <c r="G95" s="14" t="str">
        <f>IFERROR(VLOOKUP($C95,'Test Library'!$A:$P,6,FALSE),"")</f>
        <v>Medium</v>
      </c>
      <c r="H95" s="14" t="inlineStr">
        <is>
          <t xml:space="preserve">Staging</t>
        </is>
      </c>
      <c r="I95" s="14" t="inlineStr">
        <is>
          <t xml:space="preserve">Not Run</t>
        </is>
      </c>
      <c r="J95" s="14"/>
      <c r="K95" s="17"/>
      <c r="L95" s="14"/>
      <c r="M95" s="14"/>
      <c r="N95" s="14"/>
      <c r="O95" s="14" t="inlineStr">
        <is>
          <t xml:space="preserve">Not Required</t>
        </is>
      </c>
      <c r="P95" s="14" t="str">
        <f>IFERROR(VLOOKUP($C95,'Test Library'!$A:$P,14,FALSE),"")</f>
        <v>No</v>
      </c>
      <c r="Q95" s="14"/>
    </row>
    <row r="96">
      <c r="A96" s="14" t="inlineStr">
        <is>
          <t xml:space="preserve">BETARUN-0095</t>
        </is>
      </c>
      <c r="B96" s="14" t="inlineStr">
        <is>
          <t xml:space="preserve">Beta Release</t>
        </is>
      </c>
      <c r="C96" s="14" t="inlineStr">
        <is>
          <t xml:space="preserve">RR-0095</t>
        </is>
      </c>
      <c r="D96" s="14" t="str">
        <f>IFERROR(VLOOKUP($C96,'Test Library'!$A:$P,2,FALSE),"")</f>
        <v>Availability</v>
      </c>
      <c r="E96" s="14" t="str">
        <f>IFERROR(VLOOKUP($C96,'Test Library'!$A:$P,3,FALSE),"")</f>
        <v>Employee availability</v>
      </c>
      <c r="F96" s="14" t="str">
        <f>IFERROR(VLOOKUP($C96,'Test Library'!$A:$P,5,FALSE),"")</f>
        <v>Availability spans midnight</v>
      </c>
      <c r="G96" s="14" t="str">
        <f>IFERROR(VLOOKUP($C96,'Test Library'!$A:$P,6,FALSE),"")</f>
        <v>High</v>
      </c>
      <c r="H96" s="14" t="inlineStr">
        <is>
          <t xml:space="preserve">Staging</t>
        </is>
      </c>
      <c r="I96" s="14" t="inlineStr">
        <is>
          <t xml:space="preserve">Not Run</t>
        </is>
      </c>
      <c r="J96" s="14"/>
      <c r="K96" s="17"/>
      <c r="L96" s="14"/>
      <c r="M96" s="14"/>
      <c r="N96" s="14"/>
      <c r="O96" s="14" t="inlineStr">
        <is>
          <t xml:space="preserve">Not Required</t>
        </is>
      </c>
      <c r="P96" s="14" t="str">
        <f>IFERROR(VLOOKUP($C96,'Test Library'!$A:$P,14,FALSE),"")</f>
        <v>Yes</v>
      </c>
      <c r="Q96" s="14"/>
    </row>
    <row r="97">
      <c r="A97" s="14" t="inlineStr">
        <is>
          <t xml:space="preserve">BETARUN-0096</t>
        </is>
      </c>
      <c r="B97" s="14" t="inlineStr">
        <is>
          <t xml:space="preserve">Beta Release</t>
        </is>
      </c>
      <c r="C97" s="14" t="inlineStr">
        <is>
          <t xml:space="preserve">RR-0096</t>
        </is>
      </c>
      <c r="D97" s="14" t="str">
        <f>IFERROR(VLOOKUP($C97,'Test Library'!$A:$P,2,FALSE),"")</f>
        <v>Availability</v>
      </c>
      <c r="E97" s="14" t="str">
        <f>IFERROR(VLOOKUP($C97,'Test Library'!$A:$P,3,FALSE),"")</f>
        <v>Employee availability</v>
      </c>
      <c r="F97" s="14" t="str">
        <f>IFERROR(VLOOKUP($C97,'Test Library'!$A:$P,5,FALSE),"")</f>
        <v>Manager assigns an unavailable employee</v>
      </c>
      <c r="G97" s="14" t="str">
        <f>IFERROR(VLOOKUP($C97,'Test Library'!$A:$P,6,FALSE),"")</f>
        <v>Critical</v>
      </c>
      <c r="H97" s="14" t="inlineStr">
        <is>
          <t xml:space="preserve">Staging</t>
        </is>
      </c>
      <c r="I97" s="14" t="inlineStr">
        <is>
          <t xml:space="preserve">Not Run</t>
        </is>
      </c>
      <c r="J97" s="14"/>
      <c r="K97" s="17"/>
      <c r="L97" s="14"/>
      <c r="M97" s="14"/>
      <c r="N97" s="14"/>
      <c r="O97" s="14" t="inlineStr">
        <is>
          <t xml:space="preserve">Not Required</t>
        </is>
      </c>
      <c r="P97" s="14" t="str">
        <f>IFERROR(VLOOKUP($C97,'Test Library'!$A:$P,14,FALSE),"")</f>
        <v>Yes</v>
      </c>
      <c r="Q97" s="14"/>
    </row>
    <row r="98">
      <c r="A98" s="14" t="inlineStr">
        <is>
          <t xml:space="preserve">BETARUN-0097</t>
        </is>
      </c>
      <c r="B98" s="14" t="inlineStr">
        <is>
          <t xml:space="preserve">Beta Release</t>
        </is>
      </c>
      <c r="C98" s="14" t="inlineStr">
        <is>
          <t xml:space="preserve">RR-0097</t>
        </is>
      </c>
      <c r="D98" s="14" t="str">
        <f>IFERROR(VLOOKUP($C98,'Test Library'!$A:$P,2,FALSE),"")</f>
        <v>Availability</v>
      </c>
      <c r="E98" s="14" t="str">
        <f>IFERROR(VLOOKUP($C98,'Test Library'!$A:$P,3,FALSE),"")</f>
        <v>Employee availability</v>
      </c>
      <c r="F98" s="14" t="str">
        <f>IFERROR(VLOOKUP($C98,'Test Library'!$A:$P,5,FALSE),"")</f>
        <v>Manager overrides availability with a reason</v>
      </c>
      <c r="G98" s="14" t="str">
        <f>IFERROR(VLOOKUP($C98,'Test Library'!$A:$P,6,FALSE),"")</f>
        <v>High</v>
      </c>
      <c r="H98" s="14" t="inlineStr">
        <is>
          <t xml:space="preserve">Staging</t>
        </is>
      </c>
      <c r="I98" s="14" t="inlineStr">
        <is>
          <t xml:space="preserve">Not Run</t>
        </is>
      </c>
      <c r="J98" s="14"/>
      <c r="K98" s="17"/>
      <c r="L98" s="14"/>
      <c r="M98" s="14"/>
      <c r="N98" s="14"/>
      <c r="O98" s="14" t="inlineStr">
        <is>
          <t xml:space="preserve">Not Required</t>
        </is>
      </c>
      <c r="P98" s="14" t="str">
        <f>IFERROR(VLOOKUP($C98,'Test Library'!$A:$P,14,FALSE),"")</f>
        <v>Yes</v>
      </c>
      <c r="Q98" s="14"/>
    </row>
    <row r="99">
      <c r="A99" s="14" t="inlineStr">
        <is>
          <t xml:space="preserve">BETARUN-0098</t>
        </is>
      </c>
      <c r="B99" s="14" t="inlineStr">
        <is>
          <t xml:space="preserve">Beta Release</t>
        </is>
      </c>
      <c r="C99" s="14" t="inlineStr">
        <is>
          <t xml:space="preserve">RR-0098</t>
        </is>
      </c>
      <c r="D99" s="14" t="str">
        <f>IFERROR(VLOOKUP($C99,'Test Library'!$A:$P,2,FALSE),"")</f>
        <v>Availability</v>
      </c>
      <c r="E99" s="14" t="str">
        <f>IFERROR(VLOOKUP($C99,'Test Library'!$A:$P,3,FALSE),"")</f>
        <v>Employee availability</v>
      </c>
      <c r="F99" s="14" t="str">
        <f>IFERROR(VLOOKUP($C99,'Test Library'!$A:$P,5,FALSE),"")</f>
        <v>Availability changes after a rota is published</v>
      </c>
      <c r="G99" s="14" t="str">
        <f>IFERROR(VLOOKUP($C99,'Test Library'!$A:$P,6,FALSE),"")</f>
        <v>High</v>
      </c>
      <c r="H99" s="14" t="inlineStr">
        <is>
          <t xml:space="preserve">Staging</t>
        </is>
      </c>
      <c r="I99" s="14" t="inlineStr">
        <is>
          <t xml:space="preserve">Not Run</t>
        </is>
      </c>
      <c r="J99" s="14"/>
      <c r="K99" s="17"/>
      <c r="L99" s="14"/>
      <c r="M99" s="14"/>
      <c r="N99" s="14"/>
      <c r="O99" s="14" t="inlineStr">
        <is>
          <t xml:space="preserve">Not Required</t>
        </is>
      </c>
      <c r="P99" s="14" t="str">
        <f>IFERROR(VLOOKUP($C99,'Test Library'!$A:$P,14,FALSE),"")</f>
        <v>Yes</v>
      </c>
      <c r="Q99" s="14"/>
    </row>
    <row r="100">
      <c r="A100" s="14" t="inlineStr">
        <is>
          <t xml:space="preserve">BETARUN-0099</t>
        </is>
      </c>
      <c r="B100" s="14" t="inlineStr">
        <is>
          <t xml:space="preserve">Beta Release</t>
        </is>
      </c>
      <c r="C100" s="14" t="inlineStr">
        <is>
          <t xml:space="preserve">RR-0099</t>
        </is>
      </c>
      <c r="D100" s="14" t="str">
        <f>IFERROR(VLOOKUP($C100,'Test Library'!$A:$P,2,FALSE),"")</f>
        <v>Availability</v>
      </c>
      <c r="E100" s="14" t="str">
        <f>IFERROR(VLOOKUP($C100,'Test Library'!$A:$P,3,FALSE),"")</f>
        <v>Employee availability</v>
      </c>
      <c r="F100" s="14" t="str">
        <f>IFERROR(VLOOKUP($C100,'Test Library'!$A:$P,5,FALSE),"")</f>
        <v>Employee belongs to multiple locations</v>
      </c>
      <c r="G100" s="14" t="str">
        <f>IFERROR(VLOOKUP($C100,'Test Library'!$A:$P,6,FALSE),"")</f>
        <v>High</v>
      </c>
      <c r="H100" s="14" t="inlineStr">
        <is>
          <t xml:space="preserve">Staging</t>
        </is>
      </c>
      <c r="I100" s="14" t="inlineStr">
        <is>
          <t xml:space="preserve">Not Run</t>
        </is>
      </c>
      <c r="J100" s="14"/>
      <c r="K100" s="17"/>
      <c r="L100" s="14"/>
      <c r="M100" s="14"/>
      <c r="N100" s="14"/>
      <c r="O100" s="14" t="inlineStr">
        <is>
          <t xml:space="preserve">Not Required</t>
        </is>
      </c>
      <c r="P100" s="14" t="str">
        <f>IFERROR(VLOOKUP($C100,'Test Library'!$A:$P,14,FALSE),"")</f>
        <v>Yes</v>
      </c>
      <c r="Q100" s="14"/>
    </row>
    <row r="101">
      <c r="A101" s="14" t="inlineStr">
        <is>
          <t xml:space="preserve">BETARUN-0100</t>
        </is>
      </c>
      <c r="B101" s="14" t="inlineStr">
        <is>
          <t xml:space="preserve">Beta Release</t>
        </is>
      </c>
      <c r="C101" s="14" t="inlineStr">
        <is>
          <t xml:space="preserve">RR-0100</t>
        </is>
      </c>
      <c r="D101" s="14" t="str">
        <f>IFERROR(VLOOKUP($C101,'Test Library'!$A:$P,2,FALSE),"")</f>
        <v>Availability</v>
      </c>
      <c r="E101" s="14" t="str">
        <f>IFERROR(VLOOKUP($C101,'Test Library'!$A:$P,3,FALSE),"")</f>
        <v>Employee availability</v>
      </c>
      <c r="F101" s="14" t="str">
        <f>IFERROR(VLOOKUP($C101,'Test Library'!$A:$P,5,FALSE),"")</f>
        <v>Availability is viewed across a daylight-saving change</v>
      </c>
      <c r="G101" s="14" t="str">
        <f>IFERROR(VLOOKUP($C101,'Test Library'!$A:$P,6,FALSE),"")</f>
        <v>High</v>
      </c>
      <c r="H101" s="14" t="inlineStr">
        <is>
          <t xml:space="preserve">Staging</t>
        </is>
      </c>
      <c r="I101" s="14" t="inlineStr">
        <is>
          <t xml:space="preserve">Not Run</t>
        </is>
      </c>
      <c r="J101" s="14"/>
      <c r="K101" s="17"/>
      <c r="L101" s="14"/>
      <c r="M101" s="14"/>
      <c r="N101" s="14"/>
      <c r="O101" s="14" t="inlineStr">
        <is>
          <t xml:space="preserve">Not Required</t>
        </is>
      </c>
      <c r="P101" s="14" t="str">
        <f>IFERROR(VLOOKUP($C101,'Test Library'!$A:$P,14,FALSE),"")</f>
        <v>Yes</v>
      </c>
      <c r="Q101" s="14"/>
    </row>
    <row r="102">
      <c r="A102" s="14" t="inlineStr">
        <is>
          <t xml:space="preserve">BETARUN-0101</t>
        </is>
      </c>
      <c r="B102" s="14" t="inlineStr">
        <is>
          <t xml:space="preserve">Beta Release</t>
        </is>
      </c>
      <c r="C102" s="14" t="inlineStr">
        <is>
          <t xml:space="preserve">RR-0101</t>
        </is>
      </c>
      <c r="D102" s="14" t="str">
        <f>IFERROR(VLOOKUP($C102,'Test Library'!$A:$P,2,FALSE),"")</f>
        <v>Rota Builder</v>
      </c>
      <c r="E102" s="14" t="str">
        <f>IFERROR(VLOOKUP($C102,'Test Library'!$A:$P,3,FALSE),"")</f>
        <v>Week and draft management</v>
      </c>
      <c r="F102" s="14" t="str">
        <f>IFERROR(VLOOKUP($C102,'Test Library'!$A:$P,5,FALSE),"")</f>
        <v>Open the current rota week</v>
      </c>
      <c r="G102" s="14" t="str">
        <f>IFERROR(VLOOKUP($C102,'Test Library'!$A:$P,6,FALSE),"")</f>
        <v>Critical</v>
      </c>
      <c r="H102" s="14" t="inlineStr">
        <is>
          <t xml:space="preserve">Staging</t>
        </is>
      </c>
      <c r="I102" s="14" t="inlineStr">
        <is>
          <t xml:space="preserve">Not Run</t>
        </is>
      </c>
      <c r="J102" s="14"/>
      <c r="K102" s="17"/>
      <c r="L102" s="14"/>
      <c r="M102" s="14"/>
      <c r="N102" s="14"/>
      <c r="O102" s="14" t="inlineStr">
        <is>
          <t xml:space="preserve">Not Required</t>
        </is>
      </c>
      <c r="P102" s="14" t="str">
        <f>IFERROR(VLOOKUP($C102,'Test Library'!$A:$P,14,FALSE),"")</f>
        <v>Yes</v>
      </c>
      <c r="Q102" s="14"/>
    </row>
    <row r="103">
      <c r="A103" s="14" t="inlineStr">
        <is>
          <t xml:space="preserve">BETARUN-0102</t>
        </is>
      </c>
      <c r="B103" s="14" t="inlineStr">
        <is>
          <t xml:space="preserve">Beta Release</t>
        </is>
      </c>
      <c r="C103" s="14" t="inlineStr">
        <is>
          <t xml:space="preserve">RR-0102</t>
        </is>
      </c>
      <c r="D103" s="14" t="str">
        <f>IFERROR(VLOOKUP($C103,'Test Library'!$A:$P,2,FALSE),"")</f>
        <v>Rota Builder</v>
      </c>
      <c r="E103" s="14" t="str">
        <f>IFERROR(VLOOKUP($C103,'Test Library'!$A:$P,3,FALSE),"")</f>
        <v>Week and draft management</v>
      </c>
      <c r="F103" s="14" t="str">
        <f>IFERROR(VLOOKUP($C103,'Test Library'!$A:$P,5,FALSE),"")</f>
        <v>Navigate to previous and next weeks</v>
      </c>
      <c r="G103" s="14" t="str">
        <f>IFERROR(VLOOKUP($C103,'Test Library'!$A:$P,6,FALSE),"")</f>
        <v>High</v>
      </c>
      <c r="H103" s="14" t="inlineStr">
        <is>
          <t xml:space="preserve">Staging</t>
        </is>
      </c>
      <c r="I103" s="14" t="inlineStr">
        <is>
          <t xml:space="preserve">Not Run</t>
        </is>
      </c>
      <c r="J103" s="14"/>
      <c r="K103" s="17"/>
      <c r="L103" s="14"/>
      <c r="M103" s="14"/>
      <c r="N103" s="14"/>
      <c r="O103" s="14" t="inlineStr">
        <is>
          <t xml:space="preserve">Not Required</t>
        </is>
      </c>
      <c r="P103" s="14" t="str">
        <f>IFERROR(VLOOKUP($C103,'Test Library'!$A:$P,14,FALSE),"")</f>
        <v>Yes</v>
      </c>
      <c r="Q103" s="14"/>
    </row>
    <row r="104">
      <c r="A104" s="14" t="inlineStr">
        <is>
          <t xml:space="preserve">BETARUN-0103</t>
        </is>
      </c>
      <c r="B104" s="14" t="inlineStr">
        <is>
          <t xml:space="preserve">Beta Release</t>
        </is>
      </c>
      <c r="C104" s="14" t="inlineStr">
        <is>
          <t xml:space="preserve">RR-0103</t>
        </is>
      </c>
      <c r="D104" s="14" t="str">
        <f>IFERROR(VLOOKUP($C104,'Test Library'!$A:$P,2,FALSE),"")</f>
        <v>Rota Builder</v>
      </c>
      <c r="E104" s="14" t="str">
        <f>IFERROR(VLOOKUP($C104,'Test Library'!$A:$P,3,FALSE),"")</f>
        <v>Week and draft management</v>
      </c>
      <c r="F104" s="14" t="str">
        <f>IFERROR(VLOOKUP($C104,'Test Library'!$A:$P,5,FALSE),"")</f>
        <v>Create a new empty rota week</v>
      </c>
      <c r="G104" s="14" t="str">
        <f>IFERROR(VLOOKUP($C104,'Test Library'!$A:$P,6,FALSE),"")</f>
        <v>Critical</v>
      </c>
      <c r="H104" s="14" t="inlineStr">
        <is>
          <t xml:space="preserve">Staging</t>
        </is>
      </c>
      <c r="I104" s="14" t="inlineStr">
        <is>
          <t xml:space="preserve">Not Run</t>
        </is>
      </c>
      <c r="J104" s="14"/>
      <c r="K104" s="17"/>
      <c r="L104" s="14"/>
      <c r="M104" s="14"/>
      <c r="N104" s="14"/>
      <c r="O104" s="14" t="inlineStr">
        <is>
          <t xml:space="preserve">Not Required</t>
        </is>
      </c>
      <c r="P104" s="14" t="str">
        <f>IFERROR(VLOOKUP($C104,'Test Library'!$A:$P,14,FALSE),"")</f>
        <v>Yes</v>
      </c>
      <c r="Q104" s="14"/>
    </row>
    <row r="105">
      <c r="A105" s="14" t="inlineStr">
        <is>
          <t xml:space="preserve">BETARUN-0104</t>
        </is>
      </c>
      <c r="B105" s="14" t="inlineStr">
        <is>
          <t xml:space="preserve">Beta Release</t>
        </is>
      </c>
      <c r="C105" s="14" t="inlineStr">
        <is>
          <t xml:space="preserve">RR-0104</t>
        </is>
      </c>
      <c r="D105" s="14" t="str">
        <f>IFERROR(VLOOKUP($C105,'Test Library'!$A:$P,2,FALSE),"")</f>
        <v>Rota Builder</v>
      </c>
      <c r="E105" s="14" t="str">
        <f>IFERROR(VLOOKUP($C105,'Test Library'!$A:$P,3,FALSE),"")</f>
        <v>Week and draft management</v>
      </c>
      <c r="F105" s="14" t="str">
        <f>IFERROR(VLOOKUP($C105,'Test Library'!$A:$P,5,FALSE),"")</f>
        <v>Open the same draft in two tabs</v>
      </c>
      <c r="G105" s="14" t="str">
        <f>IFERROR(VLOOKUP($C105,'Test Library'!$A:$P,6,FALSE),"")</f>
        <v>Critical</v>
      </c>
      <c r="H105" s="14" t="inlineStr">
        <is>
          <t xml:space="preserve">Staging</t>
        </is>
      </c>
      <c r="I105" s="14" t="inlineStr">
        <is>
          <t xml:space="preserve">Not Run</t>
        </is>
      </c>
      <c r="J105" s="14"/>
      <c r="K105" s="17"/>
      <c r="L105" s="14"/>
      <c r="M105" s="14"/>
      <c r="N105" s="14"/>
      <c r="O105" s="14" t="inlineStr">
        <is>
          <t xml:space="preserve">Not Required</t>
        </is>
      </c>
      <c r="P105" s="14" t="str">
        <f>IFERROR(VLOOKUP($C105,'Test Library'!$A:$P,14,FALSE),"")</f>
        <v>Yes</v>
      </c>
      <c r="Q105" s="14"/>
    </row>
    <row r="106">
      <c r="A106" s="14" t="inlineStr">
        <is>
          <t xml:space="preserve">BETARUN-0105</t>
        </is>
      </c>
      <c r="B106" s="14" t="inlineStr">
        <is>
          <t xml:space="preserve">Beta Release</t>
        </is>
      </c>
      <c r="C106" s="14" t="inlineStr">
        <is>
          <t xml:space="preserve">RR-0105</t>
        </is>
      </c>
      <c r="D106" s="14" t="str">
        <f>IFERROR(VLOOKUP($C106,'Test Library'!$A:$P,2,FALSE),"")</f>
        <v>Rota Builder</v>
      </c>
      <c r="E106" s="14" t="str">
        <f>IFERROR(VLOOKUP($C106,'Test Library'!$A:$P,3,FALSE),"")</f>
        <v>Week and draft management</v>
      </c>
      <c r="F106" s="14" t="str">
        <f>IFERROR(VLOOKUP($C106,'Test Library'!$A:$P,5,FALSE),"")</f>
        <v>Leave the page with unsaved changes</v>
      </c>
      <c r="G106" s="14" t="str">
        <f>IFERROR(VLOOKUP($C106,'Test Library'!$A:$P,6,FALSE),"")</f>
        <v>High</v>
      </c>
      <c r="H106" s="14" t="inlineStr">
        <is>
          <t xml:space="preserve">Staging</t>
        </is>
      </c>
      <c r="I106" s="14" t="inlineStr">
        <is>
          <t xml:space="preserve">Not Run</t>
        </is>
      </c>
      <c r="J106" s="14"/>
      <c r="K106" s="17"/>
      <c r="L106" s="14"/>
      <c r="M106" s="14"/>
      <c r="N106" s="14"/>
      <c r="O106" s="14" t="inlineStr">
        <is>
          <t xml:space="preserve">Not Required</t>
        </is>
      </c>
      <c r="P106" s="14" t="str">
        <f>IFERROR(VLOOKUP($C106,'Test Library'!$A:$P,14,FALSE),"")</f>
        <v>Yes</v>
      </c>
      <c r="Q106" s="14"/>
    </row>
    <row r="107">
      <c r="A107" s="14" t="inlineStr">
        <is>
          <t xml:space="preserve">BETARUN-0106</t>
        </is>
      </c>
      <c r="B107" s="14" t="inlineStr">
        <is>
          <t xml:space="preserve">Beta Release</t>
        </is>
      </c>
      <c r="C107" s="14" t="inlineStr">
        <is>
          <t xml:space="preserve">RR-0106</t>
        </is>
      </c>
      <c r="D107" s="14" t="str">
        <f>IFERROR(VLOOKUP($C107,'Test Library'!$A:$P,2,FALSE),"")</f>
        <v>Rota Builder</v>
      </c>
      <c r="E107" s="14" t="str">
        <f>IFERROR(VLOOKUP($C107,'Test Library'!$A:$P,3,FALSE),"")</f>
        <v>Week and draft management</v>
      </c>
      <c r="F107" s="14" t="str">
        <f>IFERROR(VLOOKUP($C107,'Test Library'!$A:$P,5,FALSE),"")</f>
        <v>Save a populated draft</v>
      </c>
      <c r="G107" s="14" t="str">
        <f>IFERROR(VLOOKUP($C107,'Test Library'!$A:$P,6,FALSE),"")</f>
        <v>Critical</v>
      </c>
      <c r="H107" s="14" t="inlineStr">
        <is>
          <t xml:space="preserve">Staging</t>
        </is>
      </c>
      <c r="I107" s="14" t="inlineStr">
        <is>
          <t xml:space="preserve">Not Run</t>
        </is>
      </c>
      <c r="J107" s="14"/>
      <c r="K107" s="17"/>
      <c r="L107" s="14"/>
      <c r="M107" s="14"/>
      <c r="N107" s="14"/>
      <c r="O107" s="14" t="inlineStr">
        <is>
          <t xml:space="preserve">Not Required</t>
        </is>
      </c>
      <c r="P107" s="14" t="str">
        <f>IFERROR(VLOOKUP($C107,'Test Library'!$A:$P,14,FALSE),"")</f>
        <v>Yes</v>
      </c>
      <c r="Q107" s="14"/>
    </row>
    <row r="108">
      <c r="A108" s="14" t="inlineStr">
        <is>
          <t xml:space="preserve">BETARUN-0107</t>
        </is>
      </c>
      <c r="B108" s="14" t="inlineStr">
        <is>
          <t xml:space="preserve">Beta Release</t>
        </is>
      </c>
      <c r="C108" s="14" t="inlineStr">
        <is>
          <t xml:space="preserve">RR-0107</t>
        </is>
      </c>
      <c r="D108" s="14" t="str">
        <f>IFERROR(VLOOKUP($C108,'Test Library'!$A:$P,2,FALSE),"")</f>
        <v>Rota Builder</v>
      </c>
      <c r="E108" s="14" t="str">
        <f>IFERROR(VLOOKUP($C108,'Test Library'!$A:$P,3,FALSE),"")</f>
        <v>Week and draft management</v>
      </c>
      <c r="F108" s="14" t="str">
        <f>IFERROR(VLOOKUP($C108,'Test Library'!$A:$P,5,FALSE),"")</f>
        <v>Rapidly click Save multiple times</v>
      </c>
      <c r="G108" s="14" t="str">
        <f>IFERROR(VLOOKUP($C108,'Test Library'!$A:$P,6,FALSE),"")</f>
        <v>High</v>
      </c>
      <c r="H108" s="14" t="inlineStr">
        <is>
          <t xml:space="preserve">Staging</t>
        </is>
      </c>
      <c r="I108" s="14" t="inlineStr">
        <is>
          <t xml:space="preserve">Not Run</t>
        </is>
      </c>
      <c r="J108" s="14"/>
      <c r="K108" s="17"/>
      <c r="L108" s="14"/>
      <c r="M108" s="14"/>
      <c r="N108" s="14"/>
      <c r="O108" s="14" t="inlineStr">
        <is>
          <t xml:space="preserve">Not Required</t>
        </is>
      </c>
      <c r="P108" s="14" t="str">
        <f>IFERROR(VLOOKUP($C108,'Test Library'!$A:$P,14,FALSE),"")</f>
        <v>Yes</v>
      </c>
      <c r="Q108" s="14"/>
    </row>
    <row r="109">
      <c r="A109" s="14" t="inlineStr">
        <is>
          <t xml:space="preserve">BETARUN-0108</t>
        </is>
      </c>
      <c r="B109" s="14" t="inlineStr">
        <is>
          <t xml:space="preserve">Beta Release</t>
        </is>
      </c>
      <c r="C109" s="14" t="inlineStr">
        <is>
          <t xml:space="preserve">RR-0108</t>
        </is>
      </c>
      <c r="D109" s="14" t="str">
        <f>IFERROR(VLOOKUP($C109,'Test Library'!$A:$P,2,FALSE),"")</f>
        <v>Rota Builder</v>
      </c>
      <c r="E109" s="14" t="str">
        <f>IFERROR(VLOOKUP($C109,'Test Library'!$A:$P,3,FALSE),"")</f>
        <v>Week and draft management</v>
      </c>
      <c r="F109" s="14" t="str">
        <f>IFERROR(VLOOKUP($C109,'Test Library'!$A:$P,5,FALSE),"")</f>
        <v>Recover after a save request times out</v>
      </c>
      <c r="G109" s="14" t="str">
        <f>IFERROR(VLOOKUP($C109,'Test Library'!$A:$P,6,FALSE),"")</f>
        <v>Critical</v>
      </c>
      <c r="H109" s="14" t="inlineStr">
        <is>
          <t xml:space="preserve">Staging</t>
        </is>
      </c>
      <c r="I109" s="14" t="inlineStr">
        <is>
          <t xml:space="preserve">Not Run</t>
        </is>
      </c>
      <c r="J109" s="14"/>
      <c r="K109" s="17"/>
      <c r="L109" s="14"/>
      <c r="M109" s="14"/>
      <c r="N109" s="14"/>
      <c r="O109" s="14" t="inlineStr">
        <is>
          <t xml:space="preserve">Not Required</t>
        </is>
      </c>
      <c r="P109" s="14" t="str">
        <f>IFERROR(VLOOKUP($C109,'Test Library'!$A:$P,14,FALSE),"")</f>
        <v>Yes</v>
      </c>
      <c r="Q109" s="14"/>
    </row>
    <row r="110">
      <c r="A110" s="14" t="inlineStr">
        <is>
          <t xml:space="preserve">BETARUN-0109</t>
        </is>
      </c>
      <c r="B110" s="14" t="inlineStr">
        <is>
          <t xml:space="preserve">Beta Release</t>
        </is>
      </c>
      <c r="C110" s="14" t="inlineStr">
        <is>
          <t xml:space="preserve">RR-0109</t>
        </is>
      </c>
      <c r="D110" s="14" t="str">
        <f>IFERROR(VLOOKUP($C110,'Test Library'!$A:$P,2,FALSE),"")</f>
        <v>Rota Builder</v>
      </c>
      <c r="E110" s="14" t="str">
        <f>IFERROR(VLOOKUP($C110,'Test Library'!$A:$P,3,FALSE),"")</f>
        <v>Shift creation and editing</v>
      </c>
      <c r="F110" s="14" t="str">
        <f>IFERROR(VLOOKUP($C110,'Test Library'!$A:$P,5,FALSE),"")</f>
        <v>Create a standard daytime shift</v>
      </c>
      <c r="G110" s="14" t="str">
        <f>IFERROR(VLOOKUP($C110,'Test Library'!$A:$P,6,FALSE),"")</f>
        <v>Critical</v>
      </c>
      <c r="H110" s="14" t="inlineStr">
        <is>
          <t xml:space="preserve">Staging</t>
        </is>
      </c>
      <c r="I110" s="14" t="inlineStr">
        <is>
          <t xml:space="preserve">Not Run</t>
        </is>
      </c>
      <c r="J110" s="14"/>
      <c r="K110" s="17"/>
      <c r="L110" s="14"/>
      <c r="M110" s="14"/>
      <c r="N110" s="14"/>
      <c r="O110" s="14" t="inlineStr">
        <is>
          <t xml:space="preserve">Not Required</t>
        </is>
      </c>
      <c r="P110" s="14" t="str">
        <f>IFERROR(VLOOKUP($C110,'Test Library'!$A:$P,14,FALSE),"")</f>
        <v>Yes</v>
      </c>
      <c r="Q110" s="14"/>
    </row>
    <row r="111">
      <c r="A111" s="14" t="inlineStr">
        <is>
          <t xml:space="preserve">BETARUN-0110</t>
        </is>
      </c>
      <c r="B111" s="14" t="inlineStr">
        <is>
          <t xml:space="preserve">Beta Release</t>
        </is>
      </c>
      <c r="C111" s="14" t="inlineStr">
        <is>
          <t xml:space="preserve">RR-0110</t>
        </is>
      </c>
      <c r="D111" s="14" t="str">
        <f>IFERROR(VLOOKUP($C111,'Test Library'!$A:$P,2,FALSE),"")</f>
        <v>Rota Builder</v>
      </c>
      <c r="E111" s="14" t="str">
        <f>IFERROR(VLOOKUP($C111,'Test Library'!$A:$P,3,FALSE),"")</f>
        <v>Shift creation and editing</v>
      </c>
      <c r="F111" s="14" t="str">
        <f>IFERROR(VLOOKUP($C111,'Test Library'!$A:$P,5,FALSE),"")</f>
        <v>Create an overnight shift ending the next day</v>
      </c>
      <c r="G111" s="14" t="str">
        <f>IFERROR(VLOOKUP($C111,'Test Library'!$A:$P,6,FALSE),"")</f>
        <v>Critical</v>
      </c>
      <c r="H111" s="14" t="inlineStr">
        <is>
          <t xml:space="preserve">Staging</t>
        </is>
      </c>
      <c r="I111" s="14" t="inlineStr">
        <is>
          <t xml:space="preserve">Not Run</t>
        </is>
      </c>
      <c r="J111" s="14"/>
      <c r="K111" s="17"/>
      <c r="L111" s="14"/>
      <c r="M111" s="14"/>
      <c r="N111" s="14"/>
      <c r="O111" s="14" t="inlineStr">
        <is>
          <t xml:space="preserve">Not Required</t>
        </is>
      </c>
      <c r="P111" s="14" t="str">
        <f>IFERROR(VLOOKUP($C111,'Test Library'!$A:$P,14,FALSE),"")</f>
        <v>Yes</v>
      </c>
      <c r="Q111" s="14"/>
    </row>
    <row r="112">
      <c r="A112" s="14" t="inlineStr">
        <is>
          <t xml:space="preserve">BETARUN-0111</t>
        </is>
      </c>
      <c r="B112" s="14" t="inlineStr">
        <is>
          <t xml:space="preserve">Beta Release</t>
        </is>
      </c>
      <c r="C112" s="14" t="inlineStr">
        <is>
          <t xml:space="preserve">RR-0111</t>
        </is>
      </c>
      <c r="D112" s="14" t="str">
        <f>IFERROR(VLOOKUP($C112,'Test Library'!$A:$P,2,FALSE),"")</f>
        <v>Rota Builder</v>
      </c>
      <c r="E112" s="14" t="str">
        <f>IFERROR(VLOOKUP($C112,'Test Library'!$A:$P,3,FALSE),"")</f>
        <v>Shift creation and editing</v>
      </c>
      <c r="F112" s="14" t="str">
        <f>IFERROR(VLOOKUP($C112,'Test Library'!$A:$P,5,FALSE),"")</f>
        <v>Create a to-close shift</v>
      </c>
      <c r="G112" s="14" t="str">
        <f>IFERROR(VLOOKUP($C112,'Test Library'!$A:$P,6,FALSE),"")</f>
        <v>High</v>
      </c>
      <c r="H112" s="14" t="inlineStr">
        <is>
          <t xml:space="preserve">Staging</t>
        </is>
      </c>
      <c r="I112" s="14" t="inlineStr">
        <is>
          <t xml:space="preserve">Not Run</t>
        </is>
      </c>
      <c r="J112" s="14"/>
      <c r="K112" s="17"/>
      <c r="L112" s="14"/>
      <c r="M112" s="14"/>
      <c r="N112" s="14"/>
      <c r="O112" s="14" t="inlineStr">
        <is>
          <t xml:space="preserve">Not Required</t>
        </is>
      </c>
      <c r="P112" s="14" t="str">
        <f>IFERROR(VLOOKUP($C112,'Test Library'!$A:$P,14,FALSE),"")</f>
        <v>Yes</v>
      </c>
      <c r="Q112" s="14"/>
    </row>
    <row r="113">
      <c r="A113" s="14" t="inlineStr">
        <is>
          <t xml:space="preserve">BETARUN-0112</t>
        </is>
      </c>
      <c r="B113" s="14" t="inlineStr">
        <is>
          <t xml:space="preserve">Beta Release</t>
        </is>
      </c>
      <c r="C113" s="14" t="inlineStr">
        <is>
          <t xml:space="preserve">RR-0112</t>
        </is>
      </c>
      <c r="D113" s="14" t="str">
        <f>IFERROR(VLOOKUP($C113,'Test Library'!$A:$P,2,FALSE),"")</f>
        <v>Rota Builder</v>
      </c>
      <c r="E113" s="14" t="str">
        <f>IFERROR(VLOOKUP($C113,'Test Library'!$A:$P,3,FALSE),"")</f>
        <v>Shift creation and editing</v>
      </c>
      <c r="F113" s="14" t="str">
        <f>IFERROR(VLOOKUP($C113,'Test Library'!$A:$P,5,FALSE),"")</f>
        <v>Create a split shift for one employee</v>
      </c>
      <c r="G113" s="14" t="str">
        <f>IFERROR(VLOOKUP($C113,'Test Library'!$A:$P,6,FALSE),"")</f>
        <v>Critical</v>
      </c>
      <c r="H113" s="14" t="inlineStr">
        <is>
          <t xml:space="preserve">Staging</t>
        </is>
      </c>
      <c r="I113" s="14" t="inlineStr">
        <is>
          <t xml:space="preserve">Not Run</t>
        </is>
      </c>
      <c r="J113" s="14"/>
      <c r="K113" s="17"/>
      <c r="L113" s="14"/>
      <c r="M113" s="14"/>
      <c r="N113" s="14"/>
      <c r="O113" s="14" t="inlineStr">
        <is>
          <t xml:space="preserve">Not Required</t>
        </is>
      </c>
      <c r="P113" s="14" t="str">
        <f>IFERROR(VLOOKUP($C113,'Test Library'!$A:$P,14,FALSE),"")</f>
        <v>Yes</v>
      </c>
      <c r="Q113" s="14"/>
    </row>
    <row r="114">
      <c r="A114" s="14" t="inlineStr">
        <is>
          <t xml:space="preserve">BETARUN-0113</t>
        </is>
      </c>
      <c r="B114" s="14" t="inlineStr">
        <is>
          <t xml:space="preserve">Beta Release</t>
        </is>
      </c>
      <c r="C114" s="14" t="inlineStr">
        <is>
          <t xml:space="preserve">RR-0113</t>
        </is>
      </c>
      <c r="D114" s="14" t="str">
        <f>IFERROR(VLOOKUP($C114,'Test Library'!$A:$P,2,FALSE),"")</f>
        <v>Rota Builder</v>
      </c>
      <c r="E114" s="14" t="str">
        <f>IFERROR(VLOOKUP($C114,'Test Library'!$A:$P,3,FALSE),"")</f>
        <v>Shift creation and editing</v>
      </c>
      <c r="F114" s="14" t="str">
        <f>IFERROR(VLOOKUP($C114,'Test Library'!$A:$P,5,FALSE),"")</f>
        <v>Add an unpaid break</v>
      </c>
      <c r="G114" s="14" t="str">
        <f>IFERROR(VLOOKUP($C114,'Test Library'!$A:$P,6,FALSE),"")</f>
        <v>High</v>
      </c>
      <c r="H114" s="14" t="inlineStr">
        <is>
          <t xml:space="preserve">Staging</t>
        </is>
      </c>
      <c r="I114" s="14" t="inlineStr">
        <is>
          <t xml:space="preserve">Not Run</t>
        </is>
      </c>
      <c r="J114" s="14"/>
      <c r="K114" s="17"/>
      <c r="L114" s="14"/>
      <c r="M114" s="14"/>
      <c r="N114" s="14"/>
      <c r="O114" s="14" t="inlineStr">
        <is>
          <t xml:space="preserve">Not Required</t>
        </is>
      </c>
      <c r="P114" s="14" t="str">
        <f>IFERROR(VLOOKUP($C114,'Test Library'!$A:$P,14,FALSE),"")</f>
        <v>Yes</v>
      </c>
      <c r="Q114" s="14"/>
    </row>
    <row r="115">
      <c r="A115" s="14" t="inlineStr">
        <is>
          <t xml:space="preserve">BETARUN-0114</t>
        </is>
      </c>
      <c r="B115" s="14" t="inlineStr">
        <is>
          <t xml:space="preserve">Beta Release</t>
        </is>
      </c>
      <c r="C115" s="14" t="inlineStr">
        <is>
          <t xml:space="preserve">RR-0114</t>
        </is>
      </c>
      <c r="D115" s="14" t="str">
        <f>IFERROR(VLOOKUP($C115,'Test Library'!$A:$P,2,FALSE),"")</f>
        <v>Rota Builder</v>
      </c>
      <c r="E115" s="14" t="str">
        <f>IFERROR(VLOOKUP($C115,'Test Library'!$A:$P,3,FALSE),"")</f>
        <v>Shift creation and editing</v>
      </c>
      <c r="F115" s="14" t="str">
        <f>IFERROR(VLOOKUP($C115,'Test Library'!$A:$P,5,FALSE),"")</f>
        <v>Enter a break longer than the shift</v>
      </c>
      <c r="G115" s="14" t="str">
        <f>IFERROR(VLOOKUP($C115,'Test Library'!$A:$P,6,FALSE),"")</f>
        <v>High</v>
      </c>
      <c r="H115" s="14" t="inlineStr">
        <is>
          <t xml:space="preserve">Staging</t>
        </is>
      </c>
      <c r="I115" s="14" t="inlineStr">
        <is>
          <t xml:space="preserve">Not Run</t>
        </is>
      </c>
      <c r="J115" s="14"/>
      <c r="K115" s="17"/>
      <c r="L115" s="14"/>
      <c r="M115" s="14"/>
      <c r="N115" s="14"/>
      <c r="O115" s="14" t="inlineStr">
        <is>
          <t xml:space="preserve">Not Required</t>
        </is>
      </c>
      <c r="P115" s="14" t="str">
        <f>IFERROR(VLOOKUP($C115,'Test Library'!$A:$P,14,FALSE),"")</f>
        <v>Yes</v>
      </c>
      <c r="Q115" s="14"/>
    </row>
    <row r="116">
      <c r="A116" s="14" t="inlineStr">
        <is>
          <t xml:space="preserve">BETARUN-0115</t>
        </is>
      </c>
      <c r="B116" s="14" t="inlineStr">
        <is>
          <t xml:space="preserve">Beta Release</t>
        </is>
      </c>
      <c r="C116" s="14" t="inlineStr">
        <is>
          <t xml:space="preserve">RR-0115</t>
        </is>
      </c>
      <c r="D116" s="14" t="str">
        <f>IFERROR(VLOOKUP($C116,'Test Library'!$A:$P,2,FALSE),"")</f>
        <v>Rota Builder</v>
      </c>
      <c r="E116" s="14" t="str">
        <f>IFERROR(VLOOKUP($C116,'Test Library'!$A:$P,3,FALSE),"")</f>
        <v>Shift creation and editing</v>
      </c>
      <c r="F116" s="14" t="str">
        <f>IFERROR(VLOOKUP($C116,'Test Library'!$A:$P,5,FALSE),"")</f>
        <v>Enter an end time equal to start time</v>
      </c>
      <c r="G116" s="14" t="str">
        <f>IFERROR(VLOOKUP($C116,'Test Library'!$A:$P,6,FALSE),"")</f>
        <v>High</v>
      </c>
      <c r="H116" s="14" t="inlineStr">
        <is>
          <t xml:space="preserve">Staging</t>
        </is>
      </c>
      <c r="I116" s="14" t="inlineStr">
        <is>
          <t xml:space="preserve">Not Run</t>
        </is>
      </c>
      <c r="J116" s="14"/>
      <c r="K116" s="17"/>
      <c r="L116" s="14"/>
      <c r="M116" s="14"/>
      <c r="N116" s="14"/>
      <c r="O116" s="14" t="inlineStr">
        <is>
          <t xml:space="preserve">Not Required</t>
        </is>
      </c>
      <c r="P116" s="14" t="str">
        <f>IFERROR(VLOOKUP($C116,'Test Library'!$A:$P,14,FALSE),"")</f>
        <v>Yes</v>
      </c>
      <c r="Q116" s="14"/>
    </row>
    <row r="117">
      <c r="A117" s="14" t="inlineStr">
        <is>
          <t xml:space="preserve">BETARUN-0116</t>
        </is>
      </c>
      <c r="B117" s="14" t="inlineStr">
        <is>
          <t xml:space="preserve">Beta Release</t>
        </is>
      </c>
      <c r="C117" s="14" t="inlineStr">
        <is>
          <t xml:space="preserve">RR-0116</t>
        </is>
      </c>
      <c r="D117" s="14" t="str">
        <f>IFERROR(VLOOKUP($C117,'Test Library'!$A:$P,2,FALSE),"")</f>
        <v>Rota Builder</v>
      </c>
      <c r="E117" s="14" t="str">
        <f>IFERROR(VLOOKUP($C117,'Test Library'!$A:$P,3,FALSE),"")</f>
        <v>Shift creation and editing</v>
      </c>
      <c r="F117" s="14" t="str">
        <f>IFERROR(VLOOKUP($C117,'Test Library'!$A:$P,5,FALSE),"")</f>
        <v>Edit shift start and end time inline</v>
      </c>
      <c r="G117" s="14" t="str">
        <f>IFERROR(VLOOKUP($C117,'Test Library'!$A:$P,6,FALSE),"")</f>
        <v>Critical</v>
      </c>
      <c r="H117" s="14" t="inlineStr">
        <is>
          <t xml:space="preserve">Staging</t>
        </is>
      </c>
      <c r="I117" s="14" t="inlineStr">
        <is>
          <t xml:space="preserve">Not Run</t>
        </is>
      </c>
      <c r="J117" s="14"/>
      <c r="K117" s="17"/>
      <c r="L117" s="14"/>
      <c r="M117" s="14"/>
      <c r="N117" s="14"/>
      <c r="O117" s="14" t="inlineStr">
        <is>
          <t xml:space="preserve">Not Required</t>
        </is>
      </c>
      <c r="P117" s="14" t="str">
        <f>IFERROR(VLOOKUP($C117,'Test Library'!$A:$P,14,FALSE),"")</f>
        <v>Yes</v>
      </c>
      <c r="Q117" s="14"/>
    </row>
    <row r="118">
      <c r="A118" s="14" t="inlineStr">
        <is>
          <t xml:space="preserve">BETARUN-0117</t>
        </is>
      </c>
      <c r="B118" s="14" t="inlineStr">
        <is>
          <t xml:space="preserve">Beta Release</t>
        </is>
      </c>
      <c r="C118" s="14" t="inlineStr">
        <is>
          <t xml:space="preserve">RR-0117</t>
        </is>
      </c>
      <c r="D118" s="14" t="str">
        <f>IFERROR(VLOOKUP($C118,'Test Library'!$A:$P,2,FALSE),"")</f>
        <v>Rota Builder</v>
      </c>
      <c r="E118" s="14" t="str">
        <f>IFERROR(VLOOKUP($C118,'Test Library'!$A:$P,3,FALSE),"")</f>
        <v>Shift creation and editing</v>
      </c>
      <c r="F118" s="14" t="str">
        <f>IFERROR(VLOOKUP($C118,'Test Library'!$A:$P,5,FALSE),"")</f>
        <v>Change a shift's zone</v>
      </c>
      <c r="G118" s="14" t="str">
        <f>IFERROR(VLOOKUP($C118,'Test Library'!$A:$P,6,FALSE),"")</f>
        <v>High</v>
      </c>
      <c r="H118" s="14" t="inlineStr">
        <is>
          <t xml:space="preserve">Staging</t>
        </is>
      </c>
      <c r="I118" s="14" t="inlineStr">
        <is>
          <t xml:space="preserve">Not Run</t>
        </is>
      </c>
      <c r="J118" s="14"/>
      <c r="K118" s="17"/>
      <c r="L118" s="14"/>
      <c r="M118" s="14"/>
      <c r="N118" s="14"/>
      <c r="O118" s="14" t="inlineStr">
        <is>
          <t xml:space="preserve">Not Required</t>
        </is>
      </c>
      <c r="P118" s="14" t="str">
        <f>IFERROR(VLOOKUP($C118,'Test Library'!$A:$P,14,FALSE),"")</f>
        <v>Yes</v>
      </c>
      <c r="Q118" s="14"/>
    </row>
    <row r="119">
      <c r="A119" s="14" t="inlineStr">
        <is>
          <t xml:space="preserve">BETARUN-0118</t>
        </is>
      </c>
      <c r="B119" s="14" t="inlineStr">
        <is>
          <t xml:space="preserve">Beta Release</t>
        </is>
      </c>
      <c r="C119" s="14" t="inlineStr">
        <is>
          <t xml:space="preserve">RR-0118</t>
        </is>
      </c>
      <c r="D119" s="14" t="str">
        <f>IFERROR(VLOOKUP($C119,'Test Library'!$A:$P,2,FALSE),"")</f>
        <v>Rota Builder</v>
      </c>
      <c r="E119" s="14" t="str">
        <f>IFERROR(VLOOKUP($C119,'Test Library'!$A:$P,3,FALSE),"")</f>
        <v>Shift creation and editing</v>
      </c>
      <c r="F119" s="14" t="str">
        <f>IFERROR(VLOOKUP($C119,'Test Library'!$A:$P,5,FALSE),"")</f>
        <v>Change a shift's employee</v>
      </c>
      <c r="G119" s="14" t="str">
        <f>IFERROR(VLOOKUP($C119,'Test Library'!$A:$P,6,FALSE),"")</f>
        <v>Critical</v>
      </c>
      <c r="H119" s="14" t="inlineStr">
        <is>
          <t xml:space="preserve">Staging</t>
        </is>
      </c>
      <c r="I119" s="14" t="inlineStr">
        <is>
          <t xml:space="preserve">Not Run</t>
        </is>
      </c>
      <c r="J119" s="14"/>
      <c r="K119" s="17"/>
      <c r="L119" s="14"/>
      <c r="M119" s="14"/>
      <c r="N119" s="14"/>
      <c r="O119" s="14" t="inlineStr">
        <is>
          <t xml:space="preserve">Not Required</t>
        </is>
      </c>
      <c r="P119" s="14" t="str">
        <f>IFERROR(VLOOKUP($C119,'Test Library'!$A:$P,14,FALSE),"")</f>
        <v>Yes</v>
      </c>
      <c r="Q119" s="14"/>
    </row>
    <row r="120">
      <c r="A120" s="14" t="inlineStr">
        <is>
          <t xml:space="preserve">BETARUN-0119</t>
        </is>
      </c>
      <c r="B120" s="14" t="inlineStr">
        <is>
          <t xml:space="preserve">Beta Release</t>
        </is>
      </c>
      <c r="C120" s="14" t="inlineStr">
        <is>
          <t xml:space="preserve">RR-0119</t>
        </is>
      </c>
      <c r="D120" s="14" t="str">
        <f>IFERROR(VLOOKUP($C120,'Test Library'!$A:$P,2,FALSE),"")</f>
        <v>Rota Builder</v>
      </c>
      <c r="E120" s="14" t="str">
        <f>IFERROR(VLOOKUP($C120,'Test Library'!$A:$P,3,FALSE),"")</f>
        <v>Shift creation and editing</v>
      </c>
      <c r="F120" s="14" t="str">
        <f>IFERROR(VLOOKUP($C120,'Test Library'!$A:$P,5,FALSE),"")</f>
        <v>Duplicate a shift to another day</v>
      </c>
      <c r="G120" s="14" t="str">
        <f>IFERROR(VLOOKUP($C120,'Test Library'!$A:$P,6,FALSE),"")</f>
        <v>High</v>
      </c>
      <c r="H120" s="14" t="inlineStr">
        <is>
          <t xml:space="preserve">Staging</t>
        </is>
      </c>
      <c r="I120" s="14" t="inlineStr">
        <is>
          <t xml:space="preserve">Not Run</t>
        </is>
      </c>
      <c r="J120" s="14"/>
      <c r="K120" s="17"/>
      <c r="L120" s="14"/>
      <c r="M120" s="14"/>
      <c r="N120" s="14"/>
      <c r="O120" s="14" t="inlineStr">
        <is>
          <t xml:space="preserve">Not Required</t>
        </is>
      </c>
      <c r="P120" s="14" t="str">
        <f>IFERROR(VLOOKUP($C120,'Test Library'!$A:$P,14,FALSE),"")</f>
        <v>Yes</v>
      </c>
      <c r="Q120" s="14"/>
    </row>
    <row r="121">
      <c r="A121" s="14" t="inlineStr">
        <is>
          <t xml:space="preserve">BETARUN-0120</t>
        </is>
      </c>
      <c r="B121" s="14" t="inlineStr">
        <is>
          <t xml:space="preserve">Beta Release</t>
        </is>
      </c>
      <c r="C121" s="14" t="inlineStr">
        <is>
          <t xml:space="preserve">RR-0120</t>
        </is>
      </c>
      <c r="D121" s="14" t="str">
        <f>IFERROR(VLOOKUP($C121,'Test Library'!$A:$P,2,FALSE),"")</f>
        <v>Rota Builder</v>
      </c>
      <c r="E121" s="14" t="str">
        <f>IFERROR(VLOOKUP($C121,'Test Library'!$A:$P,3,FALSE),"")</f>
        <v>Shift creation and editing</v>
      </c>
      <c r="F121" s="14" t="str">
        <f>IFERROR(VLOOKUP($C121,'Test Library'!$A:$P,5,FALSE),"")</f>
        <v>Duplicate a shift to the same employee and time</v>
      </c>
      <c r="G121" s="14" t="str">
        <f>IFERROR(VLOOKUP($C121,'Test Library'!$A:$P,6,FALSE),"")</f>
        <v>High</v>
      </c>
      <c r="H121" s="14" t="inlineStr">
        <is>
          <t xml:space="preserve">Staging</t>
        </is>
      </c>
      <c r="I121" s="14" t="inlineStr">
        <is>
          <t xml:space="preserve">Not Run</t>
        </is>
      </c>
      <c r="J121" s="14"/>
      <c r="K121" s="17"/>
      <c r="L121" s="14"/>
      <c r="M121" s="14"/>
      <c r="N121" s="14"/>
      <c r="O121" s="14" t="inlineStr">
        <is>
          <t xml:space="preserve">Not Required</t>
        </is>
      </c>
      <c r="P121" s="14" t="str">
        <f>IFERROR(VLOOKUP($C121,'Test Library'!$A:$P,14,FALSE),"")</f>
        <v>Yes</v>
      </c>
      <c r="Q121" s="14"/>
    </row>
    <row r="122">
      <c r="A122" s="14" t="inlineStr">
        <is>
          <t xml:space="preserve">BETARUN-0121</t>
        </is>
      </c>
      <c r="B122" s="14" t="inlineStr">
        <is>
          <t xml:space="preserve">Beta Release</t>
        </is>
      </c>
      <c r="C122" s="14" t="inlineStr">
        <is>
          <t xml:space="preserve">RR-0121</t>
        </is>
      </c>
      <c r="D122" s="14" t="str">
        <f>IFERROR(VLOOKUP($C122,'Test Library'!$A:$P,2,FALSE),"")</f>
        <v>Rota Builder</v>
      </c>
      <c r="E122" s="14" t="str">
        <f>IFERROR(VLOOKUP($C122,'Test Library'!$A:$P,3,FALSE),"")</f>
        <v>Shift creation and editing</v>
      </c>
      <c r="F122" s="14" t="str">
        <f>IFERROR(VLOOKUP($C122,'Test Library'!$A:$P,5,FALSE),"")</f>
        <v>Delete a draft shift</v>
      </c>
      <c r="G122" s="14" t="str">
        <f>IFERROR(VLOOKUP($C122,'Test Library'!$A:$P,6,FALSE),"")</f>
        <v>High</v>
      </c>
      <c r="H122" s="14" t="inlineStr">
        <is>
          <t xml:space="preserve">Staging</t>
        </is>
      </c>
      <c r="I122" s="14" t="inlineStr">
        <is>
          <t xml:space="preserve">Not Run</t>
        </is>
      </c>
      <c r="J122" s="14"/>
      <c r="K122" s="17"/>
      <c r="L122" s="14"/>
      <c r="M122" s="14"/>
      <c r="N122" s="14"/>
      <c r="O122" s="14" t="inlineStr">
        <is>
          <t xml:space="preserve">Not Required</t>
        </is>
      </c>
      <c r="P122" s="14" t="str">
        <f>IFERROR(VLOOKUP($C122,'Test Library'!$A:$P,14,FALSE),"")</f>
        <v>Yes</v>
      </c>
      <c r="Q122" s="14"/>
    </row>
    <row r="123">
      <c r="A123" s="14" t="inlineStr">
        <is>
          <t xml:space="preserve">BETARUN-0122</t>
        </is>
      </c>
      <c r="B123" s="14" t="inlineStr">
        <is>
          <t xml:space="preserve">Beta Release</t>
        </is>
      </c>
      <c r="C123" s="14" t="inlineStr">
        <is>
          <t xml:space="preserve">RR-0122</t>
        </is>
      </c>
      <c r="D123" s="14" t="str">
        <f>IFERROR(VLOOKUP($C123,'Test Library'!$A:$P,2,FALSE),"")</f>
        <v>Rota Builder</v>
      </c>
      <c r="E123" s="14" t="str">
        <f>IFERROR(VLOOKUP($C123,'Test Library'!$A:$P,3,FALSE),"")</f>
        <v>Shift creation and editing</v>
      </c>
      <c r="F123" s="14" t="str">
        <f>IFERROR(VLOOKUP($C123,'Test Library'!$A:$P,5,FALSE),"")</f>
        <v>Bulk-create shifts for multiple days</v>
      </c>
      <c r="G123" s="14" t="str">
        <f>IFERROR(VLOOKUP($C123,'Test Library'!$A:$P,6,FALSE),"")</f>
        <v>High</v>
      </c>
      <c r="H123" s="14" t="inlineStr">
        <is>
          <t xml:space="preserve">Staging</t>
        </is>
      </c>
      <c r="I123" s="14" t="inlineStr">
        <is>
          <t xml:space="preserve">Not Run</t>
        </is>
      </c>
      <c r="J123" s="14"/>
      <c r="K123" s="17"/>
      <c r="L123" s="14"/>
      <c r="M123" s="14"/>
      <c r="N123" s="14"/>
      <c r="O123" s="14" t="inlineStr">
        <is>
          <t xml:space="preserve">Not Required</t>
        </is>
      </c>
      <c r="P123" s="14" t="str">
        <f>IFERROR(VLOOKUP($C123,'Test Library'!$A:$P,14,FALSE),"")</f>
        <v>Yes</v>
      </c>
      <c r="Q123" s="14"/>
    </row>
    <row r="124">
      <c r="A124" s="14" t="inlineStr">
        <is>
          <t xml:space="preserve">BETARUN-0123</t>
        </is>
      </c>
      <c r="B124" s="14" t="inlineStr">
        <is>
          <t xml:space="preserve">Beta Release</t>
        </is>
      </c>
      <c r="C124" s="14" t="inlineStr">
        <is>
          <t xml:space="preserve">RR-0123</t>
        </is>
      </c>
      <c r="D124" s="14" t="str">
        <f>IFERROR(VLOOKUP($C124,'Test Library'!$A:$P,2,FALSE),"")</f>
        <v>Rota Builder</v>
      </c>
      <c r="E124" s="14" t="str">
        <f>IFERROR(VLOOKUP($C124,'Test Library'!$A:$P,3,FALSE),"")</f>
        <v>Shift creation and editing</v>
      </c>
      <c r="F124" s="14" t="str">
        <f>IFERROR(VLOOKUP($C124,'Test Library'!$A:$P,5,FALSE),"")</f>
        <v>Create a shift with no employee</v>
      </c>
      <c r="G124" s="14" t="str">
        <f>IFERROR(VLOOKUP($C124,'Test Library'!$A:$P,6,FALSE),"")</f>
        <v>Medium</v>
      </c>
      <c r="H124" s="14" t="inlineStr">
        <is>
          <t xml:space="preserve">Staging</t>
        </is>
      </c>
      <c r="I124" s="14" t="inlineStr">
        <is>
          <t xml:space="preserve">Not Run</t>
        </is>
      </c>
      <c r="J124" s="14"/>
      <c r="K124" s="17"/>
      <c r="L124" s="14"/>
      <c r="M124" s="14"/>
      <c r="N124" s="14"/>
      <c r="O124" s="14" t="inlineStr">
        <is>
          <t xml:space="preserve">Not Required</t>
        </is>
      </c>
      <c r="P124" s="14" t="str">
        <f>IFERROR(VLOOKUP($C124,'Test Library'!$A:$P,14,FALSE),"")</f>
        <v>No</v>
      </c>
      <c r="Q124" s="14"/>
    </row>
    <row r="125">
      <c r="A125" s="14" t="inlineStr">
        <is>
          <t xml:space="preserve">BETARUN-0124</t>
        </is>
      </c>
      <c r="B125" s="14" t="inlineStr">
        <is>
          <t xml:space="preserve">Beta Release</t>
        </is>
      </c>
      <c r="C125" s="14" t="inlineStr">
        <is>
          <t xml:space="preserve">RR-0124</t>
        </is>
      </c>
      <c r="D125" s="14" t="str">
        <f>IFERROR(VLOOKUP($C125,'Test Library'!$A:$P,2,FALSE),"")</f>
        <v>Rota Builder</v>
      </c>
      <c r="E125" s="14" t="str">
        <f>IFERROR(VLOOKUP($C125,'Test Library'!$A:$P,3,FALSE),"")</f>
        <v>Shift creation and editing</v>
      </c>
      <c r="F125" s="14" t="str">
        <f>IFERROR(VLOOKUP($C125,'Test Library'!$A:$P,5,FALSE),"")</f>
        <v>Create a shift with a very long note</v>
      </c>
      <c r="G125" s="14" t="str">
        <f>IFERROR(VLOOKUP($C125,'Test Library'!$A:$P,6,FALSE),"")</f>
        <v>Low</v>
      </c>
      <c r="H125" s="14" t="inlineStr">
        <is>
          <t xml:space="preserve">Staging</t>
        </is>
      </c>
      <c r="I125" s="14" t="inlineStr">
        <is>
          <t xml:space="preserve">Not Run</t>
        </is>
      </c>
      <c r="J125" s="14"/>
      <c r="K125" s="17"/>
      <c r="L125" s="14"/>
      <c r="M125" s="14"/>
      <c r="N125" s="14"/>
      <c r="O125" s="14" t="inlineStr">
        <is>
          <t xml:space="preserve">Not Required</t>
        </is>
      </c>
      <c r="P125" s="14" t="str">
        <f>IFERROR(VLOOKUP($C125,'Test Library'!$A:$P,14,FALSE),"")</f>
        <v>No</v>
      </c>
      <c r="Q125" s="14"/>
    </row>
    <row r="126">
      <c r="A126" s="14" t="inlineStr">
        <is>
          <t xml:space="preserve">BETARUN-0125</t>
        </is>
      </c>
      <c r="B126" s="14" t="inlineStr">
        <is>
          <t xml:space="preserve">Beta Release</t>
        </is>
      </c>
      <c r="C126" s="14" t="inlineStr">
        <is>
          <t xml:space="preserve">RR-0125</t>
        </is>
      </c>
      <c r="D126" s="14" t="str">
        <f>IFERROR(VLOOKUP($C126,'Test Library'!$A:$P,2,FALSE),"")</f>
        <v>Rota Builder</v>
      </c>
      <c r="E126" s="14" t="str">
        <f>IFERROR(VLOOKUP($C126,'Test Library'!$A:$P,3,FALSE),"")</f>
        <v>Drag, drop and scheduling rules</v>
      </c>
      <c r="F126" s="14" t="str">
        <f>IFERROR(VLOOKUP($C126,'Test Library'!$A:$P,5,FALSE),"")</f>
        <v>Drag an employee into an empty shift</v>
      </c>
      <c r="G126" s="14" t="str">
        <f>IFERROR(VLOOKUP($C126,'Test Library'!$A:$P,6,FALSE),"")</f>
        <v>Critical</v>
      </c>
      <c r="H126" s="14" t="inlineStr">
        <is>
          <t xml:space="preserve">Staging</t>
        </is>
      </c>
      <c r="I126" s="14" t="inlineStr">
        <is>
          <t xml:space="preserve">Not Run</t>
        </is>
      </c>
      <c r="J126" s="14"/>
      <c r="K126" s="17"/>
      <c r="L126" s="14"/>
      <c r="M126" s="14"/>
      <c r="N126" s="14"/>
      <c r="O126" s="14" t="inlineStr">
        <is>
          <t xml:space="preserve">Not Required</t>
        </is>
      </c>
      <c r="P126" s="14" t="str">
        <f>IFERROR(VLOOKUP($C126,'Test Library'!$A:$P,14,FALSE),"")</f>
        <v>Yes</v>
      </c>
      <c r="Q126" s="14"/>
    </row>
    <row r="127">
      <c r="A127" s="14" t="inlineStr">
        <is>
          <t xml:space="preserve">BETARUN-0126</t>
        </is>
      </c>
      <c r="B127" s="14" t="inlineStr">
        <is>
          <t xml:space="preserve">Beta Release</t>
        </is>
      </c>
      <c r="C127" s="14" t="inlineStr">
        <is>
          <t xml:space="preserve">RR-0126</t>
        </is>
      </c>
      <c r="D127" s="14" t="str">
        <f>IFERROR(VLOOKUP($C127,'Test Library'!$A:$P,2,FALSE),"")</f>
        <v>Rota Builder</v>
      </c>
      <c r="E127" s="14" t="str">
        <f>IFERROR(VLOOKUP($C127,'Test Library'!$A:$P,3,FALSE),"")</f>
        <v>Drag, drop and scheduling rules</v>
      </c>
      <c r="F127" s="14" t="str">
        <f>IFERROR(VLOOKUP($C127,'Test Library'!$A:$P,5,FALSE),"")</f>
        <v>Drag an employee between shifts</v>
      </c>
      <c r="G127" s="14" t="str">
        <f>IFERROR(VLOOKUP($C127,'Test Library'!$A:$P,6,FALSE),"")</f>
        <v>Critical</v>
      </c>
      <c r="H127" s="14" t="inlineStr">
        <is>
          <t xml:space="preserve">Staging</t>
        </is>
      </c>
      <c r="I127" s="14" t="inlineStr">
        <is>
          <t xml:space="preserve">Not Run</t>
        </is>
      </c>
      <c r="J127" s="14"/>
      <c r="K127" s="17"/>
      <c r="L127" s="14"/>
      <c r="M127" s="14"/>
      <c r="N127" s="14"/>
      <c r="O127" s="14" t="inlineStr">
        <is>
          <t xml:space="preserve">Not Required</t>
        </is>
      </c>
      <c r="P127" s="14" t="str">
        <f>IFERROR(VLOOKUP($C127,'Test Library'!$A:$P,14,FALSE),"")</f>
        <v>Yes</v>
      </c>
      <c r="Q127" s="14"/>
    </row>
    <row r="128">
      <c r="A128" s="14" t="inlineStr">
        <is>
          <t xml:space="preserve">BETARUN-0127</t>
        </is>
      </c>
      <c r="B128" s="14" t="inlineStr">
        <is>
          <t xml:space="preserve">Beta Release</t>
        </is>
      </c>
      <c r="C128" s="14" t="inlineStr">
        <is>
          <t xml:space="preserve">RR-0127</t>
        </is>
      </c>
      <c r="D128" s="14" t="str">
        <f>IFERROR(VLOOKUP($C128,'Test Library'!$A:$P,2,FALSE),"")</f>
        <v>Rota Builder</v>
      </c>
      <c r="E128" s="14" t="str">
        <f>IFERROR(VLOOKUP($C128,'Test Library'!$A:$P,3,FALSE),"")</f>
        <v>Drag, drop and scheduling rules</v>
      </c>
      <c r="F128" s="14" t="str">
        <f>IFERROR(VLOOKUP($C128,'Test Library'!$A:$P,5,FALSE),"")</f>
        <v>Drag an employee into overlapping shifts</v>
      </c>
      <c r="G128" s="14" t="str">
        <f>IFERROR(VLOOKUP($C128,'Test Library'!$A:$P,6,FALSE),"")</f>
        <v>Critical</v>
      </c>
      <c r="H128" s="14" t="inlineStr">
        <is>
          <t xml:space="preserve">Staging</t>
        </is>
      </c>
      <c r="I128" s="14" t="inlineStr">
        <is>
          <t xml:space="preserve">Not Run</t>
        </is>
      </c>
      <c r="J128" s="14"/>
      <c r="K128" s="17"/>
      <c r="L128" s="14"/>
      <c r="M128" s="14"/>
      <c r="N128" s="14"/>
      <c r="O128" s="14" t="inlineStr">
        <is>
          <t xml:space="preserve">Not Required</t>
        </is>
      </c>
      <c r="P128" s="14" t="str">
        <f>IFERROR(VLOOKUP($C128,'Test Library'!$A:$P,14,FALSE),"")</f>
        <v>Yes</v>
      </c>
      <c r="Q128" s="14"/>
    </row>
    <row r="129">
      <c r="A129" s="14" t="inlineStr">
        <is>
          <t xml:space="preserve">BETARUN-0129</t>
        </is>
      </c>
      <c r="B129" s="14" t="inlineStr">
        <is>
          <t xml:space="preserve">Beta Release</t>
        </is>
      </c>
      <c r="C129" s="14" t="inlineStr">
        <is>
          <t xml:space="preserve">RR-0129</t>
        </is>
      </c>
      <c r="D129" s="14" t="str">
        <f>IFERROR(VLOOKUP($C129,'Test Library'!$A:$P,2,FALSE),"")</f>
        <v>Rota Builder</v>
      </c>
      <c r="E129" s="14" t="str">
        <f>IFERROR(VLOOKUP($C129,'Test Library'!$A:$P,3,FALSE),"")</f>
        <v>Drag, drop and scheduling rules</v>
      </c>
      <c r="F129" s="14" t="str">
        <f>IFERROR(VLOOKUP($C129,'Test Library'!$A:$P,5,FALSE),"")</f>
        <v>Assign an employee outside their availability</v>
      </c>
      <c r="G129" s="14" t="str">
        <f>IFERROR(VLOOKUP($C129,'Test Library'!$A:$P,6,FALSE),"")</f>
        <v>Critical</v>
      </c>
      <c r="H129" s="14" t="inlineStr">
        <is>
          <t xml:space="preserve">Staging</t>
        </is>
      </c>
      <c r="I129" s="14" t="inlineStr">
        <is>
          <t xml:space="preserve">Not Run</t>
        </is>
      </c>
      <c r="J129" s="14"/>
      <c r="K129" s="17"/>
      <c r="L129" s="14"/>
      <c r="M129" s="14"/>
      <c r="N129" s="14"/>
      <c r="O129" s="14" t="inlineStr">
        <is>
          <t xml:space="preserve">Not Required</t>
        </is>
      </c>
      <c r="P129" s="14" t="str">
        <f>IFERROR(VLOOKUP($C129,'Test Library'!$A:$P,14,FALSE),"")</f>
        <v>Yes</v>
      </c>
      <c r="Q129" s="14"/>
    </row>
    <row r="130">
      <c r="A130" s="14" t="inlineStr">
        <is>
          <t xml:space="preserve">BETARUN-0130</t>
        </is>
      </c>
      <c r="B130" s="14" t="inlineStr">
        <is>
          <t xml:space="preserve">Beta Release</t>
        </is>
      </c>
      <c r="C130" s="14" t="inlineStr">
        <is>
          <t xml:space="preserve">RR-0130</t>
        </is>
      </c>
      <c r="D130" s="14" t="str">
        <f>IFERROR(VLOOKUP($C130,'Test Library'!$A:$P,2,FALSE),"")</f>
        <v>Rota Builder</v>
      </c>
      <c r="E130" s="14" t="str">
        <f>IFERROR(VLOOKUP($C130,'Test Library'!$A:$P,3,FALSE),"")</f>
        <v>Drag, drop and scheduling rules</v>
      </c>
      <c r="F130" s="14" t="str">
        <f>IFERROR(VLOOKUP($C130,'Test Library'!$A:$P,5,FALSE),"")</f>
        <v>Assign an inactive employee</v>
      </c>
      <c r="G130" s="14" t="str">
        <f>IFERROR(VLOOKUP($C130,'Test Library'!$A:$P,6,FALSE),"")</f>
        <v>Critical</v>
      </c>
      <c r="H130" s="14" t="inlineStr">
        <is>
          <t xml:space="preserve">Staging</t>
        </is>
      </c>
      <c r="I130" s="14" t="inlineStr">
        <is>
          <t xml:space="preserve">Not Run</t>
        </is>
      </c>
      <c r="J130" s="14"/>
      <c r="K130" s="17"/>
      <c r="L130" s="14"/>
      <c r="M130" s="14"/>
      <c r="N130" s="14"/>
      <c r="O130" s="14" t="inlineStr">
        <is>
          <t xml:space="preserve">Not Required</t>
        </is>
      </c>
      <c r="P130" s="14" t="str">
        <f>IFERROR(VLOOKUP($C130,'Test Library'!$A:$P,14,FALSE),"")</f>
        <v>Yes</v>
      </c>
      <c r="Q130" s="14"/>
    </row>
    <row r="131">
      <c r="A131" s="14" t="inlineStr">
        <is>
          <t xml:space="preserve">BETARUN-0131</t>
        </is>
      </c>
      <c r="B131" s="14" t="inlineStr">
        <is>
          <t xml:space="preserve">Beta Release</t>
        </is>
      </c>
      <c r="C131" s="14" t="inlineStr">
        <is>
          <t xml:space="preserve">RR-0131</t>
        </is>
      </c>
      <c r="D131" s="14" t="str">
        <f>IFERROR(VLOOKUP($C131,'Test Library'!$A:$P,2,FALSE),"")</f>
        <v>Rota Builder</v>
      </c>
      <c r="E131" s="14" t="str">
        <f>IFERROR(VLOOKUP($C131,'Test Library'!$A:$P,3,FALSE),"")</f>
        <v>Drag, drop and scheduling rules</v>
      </c>
      <c r="F131" s="14" t="str">
        <f>IFERROR(VLOOKUP($C131,'Test Library'!$A:$P,5,FALSE),"")</f>
        <v>Assign an employee active only at another location</v>
      </c>
      <c r="G131" s="14" t="str">
        <f>IFERROR(VLOOKUP($C131,'Test Library'!$A:$P,6,FALSE),"")</f>
        <v>Critical</v>
      </c>
      <c r="H131" s="14" t="inlineStr">
        <is>
          <t xml:space="preserve">Staging</t>
        </is>
      </c>
      <c r="I131" s="14" t="inlineStr">
        <is>
          <t xml:space="preserve">Not Run</t>
        </is>
      </c>
      <c r="J131" s="14"/>
      <c r="K131" s="17"/>
      <c r="L131" s="14"/>
      <c r="M131" s="14"/>
      <c r="N131" s="14"/>
      <c r="O131" s="14" t="inlineStr">
        <is>
          <t xml:space="preserve">Not Required</t>
        </is>
      </c>
      <c r="P131" s="14" t="str">
        <f>IFERROR(VLOOKUP($C131,'Test Library'!$A:$P,14,FALSE),"")</f>
        <v>Yes</v>
      </c>
      <c r="Q131" s="14"/>
    </row>
    <row r="132">
      <c r="A132" s="14" t="inlineStr">
        <is>
          <t xml:space="preserve">BETARUN-0132</t>
        </is>
      </c>
      <c r="B132" s="14" t="inlineStr">
        <is>
          <t xml:space="preserve">Beta Release</t>
        </is>
      </c>
      <c r="C132" s="14" t="inlineStr">
        <is>
          <t xml:space="preserve">RR-0132</t>
        </is>
      </c>
      <c r="D132" s="14" t="str">
        <f>IFERROR(VLOOKUP($C132,'Test Library'!$A:$P,2,FALSE),"")</f>
        <v>Rota Builder</v>
      </c>
      <c r="E132" s="14" t="str">
        <f>IFERROR(VLOOKUP($C132,'Test Library'!$A:$P,3,FALSE),"")</f>
        <v>Drag, drop and scheduling rules</v>
      </c>
      <c r="F132" s="14" t="str">
        <f>IFERROR(VLOOKUP($C132,'Test Library'!$A:$P,5,FALSE),"")</f>
        <v>Schedule an employee for excessive weekly hours</v>
      </c>
      <c r="G132" s="14" t="str">
        <f>IFERROR(VLOOKUP($C132,'Test Library'!$A:$P,6,FALSE),"")</f>
        <v>High</v>
      </c>
      <c r="H132" s="14" t="inlineStr">
        <is>
          <t xml:space="preserve">Staging</t>
        </is>
      </c>
      <c r="I132" s="14" t="inlineStr">
        <is>
          <t xml:space="preserve">Not Run</t>
        </is>
      </c>
      <c r="J132" s="14"/>
      <c r="K132" s="17"/>
      <c r="L132" s="14"/>
      <c r="M132" s="14"/>
      <c r="N132" s="14"/>
      <c r="O132" s="14" t="inlineStr">
        <is>
          <t xml:space="preserve">Not Required</t>
        </is>
      </c>
      <c r="P132" s="14" t="str">
        <f>IFERROR(VLOOKUP($C132,'Test Library'!$A:$P,14,FALSE),"")</f>
        <v>Yes</v>
      </c>
      <c r="Q132" s="14"/>
    </row>
    <row r="133">
      <c r="A133" s="14" t="inlineStr">
        <is>
          <t xml:space="preserve">BETARUN-0133</t>
        </is>
      </c>
      <c r="B133" s="14" t="inlineStr">
        <is>
          <t xml:space="preserve">Beta Release</t>
        </is>
      </c>
      <c r="C133" s="14" t="inlineStr">
        <is>
          <t xml:space="preserve">RR-0133</t>
        </is>
      </c>
      <c r="D133" s="14" t="str">
        <f>IFERROR(VLOOKUP($C133,'Test Library'!$A:$P,2,FALSE),"")</f>
        <v>Rota Builder</v>
      </c>
      <c r="E133" s="14" t="str">
        <f>IFERROR(VLOOKUP($C133,'Test Library'!$A:$P,3,FALSE),"")</f>
        <v>Drag, drop and scheduling rules</v>
      </c>
      <c r="F133" s="14" t="str">
        <f>IFERROR(VLOOKUP($C133,'Test Library'!$A:$P,5,FALSE),"")</f>
        <v>Schedule insufficient rest between overnight and next-day shifts</v>
      </c>
      <c r="G133" s="14" t="str">
        <f>IFERROR(VLOOKUP($C133,'Test Library'!$A:$P,6,FALSE),"")</f>
        <v>High</v>
      </c>
      <c r="H133" s="14" t="inlineStr">
        <is>
          <t xml:space="preserve">Staging</t>
        </is>
      </c>
      <c r="I133" s="14" t="inlineStr">
        <is>
          <t xml:space="preserve">Not Run</t>
        </is>
      </c>
      <c r="J133" s="14"/>
      <c r="K133" s="17"/>
      <c r="L133" s="14"/>
      <c r="M133" s="14"/>
      <c r="N133" s="14"/>
      <c r="O133" s="14" t="inlineStr">
        <is>
          <t xml:space="preserve">Not Required</t>
        </is>
      </c>
      <c r="P133" s="14" t="str">
        <f>IFERROR(VLOOKUP($C133,'Test Library'!$A:$P,14,FALSE),"")</f>
        <v>Yes</v>
      </c>
      <c r="Q133" s="14"/>
    </row>
    <row r="134">
      <c r="A134" s="14" t="inlineStr">
        <is>
          <t xml:space="preserve">BETARUN-0134</t>
        </is>
      </c>
      <c r="B134" s="14" t="inlineStr">
        <is>
          <t xml:space="preserve">Beta Release</t>
        </is>
      </c>
      <c r="C134" s="14" t="inlineStr">
        <is>
          <t xml:space="preserve">RR-0134</t>
        </is>
      </c>
      <c r="D134" s="14" t="str">
        <f>IFERROR(VLOOKUP($C134,'Test Library'!$A:$P,2,FALSE),"")</f>
        <v>Rota Builder</v>
      </c>
      <c r="E134" s="14" t="str">
        <f>IFERROR(VLOOKUP($C134,'Test Library'!$A:$P,3,FALSE),"")</f>
        <v>Drag, drop and scheduling rules</v>
      </c>
      <c r="F134" s="14" t="str">
        <f>IFERROR(VLOOKUP($C134,'Test Library'!$A:$P,5,FALSE),"")</f>
        <v>Drag quickly across horizontally scrolled mobile days</v>
      </c>
      <c r="G134" s="14" t="str">
        <f>IFERROR(VLOOKUP($C134,'Test Library'!$A:$P,6,FALSE),"")</f>
        <v>High</v>
      </c>
      <c r="H134" s="14" t="inlineStr">
        <is>
          <t xml:space="preserve">Staging</t>
        </is>
      </c>
      <c r="I134" s="14" t="inlineStr">
        <is>
          <t xml:space="preserve">Not Run</t>
        </is>
      </c>
      <c r="J134" s="14"/>
      <c r="K134" s="17"/>
      <c r="L134" s="14"/>
      <c r="M134" s="14"/>
      <c r="N134" s="14"/>
      <c r="O134" s="14" t="inlineStr">
        <is>
          <t xml:space="preserve">Not Required</t>
        </is>
      </c>
      <c r="P134" s="14" t="str">
        <f>IFERROR(VLOOKUP($C134,'Test Library'!$A:$P,14,FALSE),"")</f>
        <v>Yes</v>
      </c>
      <c r="Q134" s="14"/>
    </row>
    <row r="135">
      <c r="A135" s="14" t="inlineStr">
        <is>
          <t xml:space="preserve">BETARUN-0135</t>
        </is>
      </c>
      <c r="B135" s="14" t="inlineStr">
        <is>
          <t xml:space="preserve">Beta Release</t>
        </is>
      </c>
      <c r="C135" s="14" t="inlineStr">
        <is>
          <t xml:space="preserve">RR-0135</t>
        </is>
      </c>
      <c r="D135" s="14" t="str">
        <f>IFERROR(VLOOKUP($C135,'Test Library'!$A:$P,2,FALSE),"")</f>
        <v>Rota Builder</v>
      </c>
      <c r="E135" s="14" t="str">
        <f>IFERROR(VLOOKUP($C135,'Test Library'!$A:$P,3,FALSE),"")</f>
        <v>Drag, drop and scheduling rules</v>
      </c>
      <c r="F135" s="14" t="str">
        <f>IFERROR(VLOOKUP($C135,'Test Library'!$A:$P,5,FALSE),"")</f>
        <v>Use keyboard controls to assign or move a shift</v>
      </c>
      <c r="G135" s="14" t="str">
        <f>IFERROR(VLOOKUP($C135,'Test Library'!$A:$P,6,FALSE),"")</f>
        <v>High</v>
      </c>
      <c r="H135" s="14" t="inlineStr">
        <is>
          <t xml:space="preserve">Staging</t>
        </is>
      </c>
      <c r="I135" s="14" t="inlineStr">
        <is>
          <t xml:space="preserve">Not Run</t>
        </is>
      </c>
      <c r="J135" s="14"/>
      <c r="K135" s="17"/>
      <c r="L135" s="14"/>
      <c r="M135" s="14"/>
      <c r="N135" s="14"/>
      <c r="O135" s="14" t="inlineStr">
        <is>
          <t xml:space="preserve">Not Required</t>
        </is>
      </c>
      <c r="P135" s="14" t="str">
        <f>IFERROR(VLOOKUP($C135,'Test Library'!$A:$P,14,FALSE),"")</f>
        <v>Yes</v>
      </c>
      <c r="Q135" s="14"/>
    </row>
    <row r="136">
      <c r="A136" s="14" t="inlineStr">
        <is>
          <t xml:space="preserve">BETARUN-0136</t>
        </is>
      </c>
      <c r="B136" s="14" t="inlineStr">
        <is>
          <t xml:space="preserve">Beta Release</t>
        </is>
      </c>
      <c r="C136" s="14" t="inlineStr">
        <is>
          <t xml:space="preserve">RR-0136</t>
        </is>
      </c>
      <c r="D136" s="14" t="str">
        <f>IFERROR(VLOOKUP($C136,'Test Library'!$A:$P,2,FALSE),"")</f>
        <v>Rota Builder</v>
      </c>
      <c r="E136" s="14" t="str">
        <f>IFERROR(VLOOKUP($C136,'Test Library'!$A:$P,3,FALSE),"")</f>
        <v>Views, totals and tools</v>
      </c>
      <c r="F136" s="14" t="str">
        <f>IFERROR(VLOOKUP($C136,'Test Library'!$A:$P,5,FALSE),"")</f>
        <v>Collapse and expand role accordion groups on mobile</v>
      </c>
      <c r="G136" s="14" t="str">
        <f>IFERROR(VLOOKUP($C136,'Test Library'!$A:$P,6,FALSE),"")</f>
        <v>High</v>
      </c>
      <c r="H136" s="14" t="inlineStr">
        <is>
          <t xml:space="preserve">Staging</t>
        </is>
      </c>
      <c r="I136" s="14" t="inlineStr">
        <is>
          <t xml:space="preserve">Not Run</t>
        </is>
      </c>
      <c r="J136" s="14"/>
      <c r="K136" s="17"/>
      <c r="L136" s="14"/>
      <c r="M136" s="14"/>
      <c r="N136" s="14"/>
      <c r="O136" s="14" t="inlineStr">
        <is>
          <t xml:space="preserve">Not Required</t>
        </is>
      </c>
      <c r="P136" s="14" t="str">
        <f>IFERROR(VLOOKUP($C136,'Test Library'!$A:$P,14,FALSE),"")</f>
        <v>Yes</v>
      </c>
      <c r="Q136" s="14"/>
    </row>
    <row r="137">
      <c r="A137" s="14" t="inlineStr">
        <is>
          <t xml:space="preserve">BETARUN-0137</t>
        </is>
      </c>
      <c r="B137" s="14" t="inlineStr">
        <is>
          <t xml:space="preserve">Beta Release</t>
        </is>
      </c>
      <c r="C137" s="14" t="inlineStr">
        <is>
          <t xml:space="preserve">RR-0137</t>
        </is>
      </c>
      <c r="D137" s="14" t="str">
        <f>IFERROR(VLOOKUP($C137,'Test Library'!$A:$P,2,FALSE),"")</f>
        <v>Rota Builder</v>
      </c>
      <c r="E137" s="14" t="str">
        <f>IFERROR(VLOOKUP($C137,'Test Library'!$A:$P,3,FALSE),"")</f>
        <v>Views, totals and tools</v>
      </c>
      <c r="F137" s="14" t="str">
        <f>IFERROR(VLOOKUP($C137,'Test Library'!$A:$P,5,FALSE),"")</f>
        <v>Horizontally scroll the week while employee list stays fixed</v>
      </c>
      <c r="G137" s="14" t="str">
        <f>IFERROR(VLOOKUP($C137,'Test Library'!$A:$P,6,FALSE),"")</f>
        <v>Critical</v>
      </c>
      <c r="H137" s="14" t="inlineStr">
        <is>
          <t xml:space="preserve">Staging</t>
        </is>
      </c>
      <c r="I137" s="14" t="inlineStr">
        <is>
          <t xml:space="preserve">Not Run</t>
        </is>
      </c>
      <c r="J137" s="14"/>
      <c r="K137" s="17"/>
      <c r="L137" s="14"/>
      <c r="M137" s="14"/>
      <c r="N137" s="14"/>
      <c r="O137" s="14" t="inlineStr">
        <is>
          <t xml:space="preserve">Not Required</t>
        </is>
      </c>
      <c r="P137" s="14" t="str">
        <f>IFERROR(VLOOKUP($C137,'Test Library'!$A:$P,14,FALSE),"")</f>
        <v>Yes</v>
      </c>
      <c r="Q137" s="14"/>
    </row>
    <row r="138">
      <c r="A138" s="14" t="inlineStr">
        <is>
          <t xml:space="preserve">BETARUN-0138</t>
        </is>
      </c>
      <c r="B138" s="14" t="inlineStr">
        <is>
          <t xml:space="preserve">Beta Release</t>
        </is>
      </c>
      <c r="C138" s="14" t="inlineStr">
        <is>
          <t xml:space="preserve">RR-0138</t>
        </is>
      </c>
      <c r="D138" s="14" t="str">
        <f>IFERROR(VLOOKUP($C138,'Test Library'!$A:$P,2,FALSE),"")</f>
        <v>Rota Builder</v>
      </c>
      <c r="E138" s="14" t="str">
        <f>IFERROR(VLOOKUP($C138,'Test Library'!$A:$P,3,FALSE),"")</f>
        <v>Views, totals and tools</v>
      </c>
      <c r="F138" s="14" t="str">
        <f>IFERROR(VLOOKUP($C138,'Test Library'!$A:$P,5,FALSE),"")</f>
        <v>Switch zone selection from the toolbar</v>
      </c>
      <c r="G138" s="14" t="str">
        <f>IFERROR(VLOOKUP($C138,'Test Library'!$A:$P,6,FALSE),"")</f>
        <v>High</v>
      </c>
      <c r="H138" s="14" t="inlineStr">
        <is>
          <t xml:space="preserve">Staging</t>
        </is>
      </c>
      <c r="I138" s="14" t="inlineStr">
        <is>
          <t xml:space="preserve">Not Run</t>
        </is>
      </c>
      <c r="J138" s="14"/>
      <c r="K138" s="17"/>
      <c r="L138" s="14"/>
      <c r="M138" s="14"/>
      <c r="N138" s="14"/>
      <c r="O138" s="14" t="inlineStr">
        <is>
          <t xml:space="preserve">Not Required</t>
        </is>
      </c>
      <c r="P138" s="14" t="str">
        <f>IFERROR(VLOOKUP($C138,'Test Library'!$A:$P,14,FALSE),"")</f>
        <v>Yes</v>
      </c>
      <c r="Q138" s="14"/>
    </row>
    <row r="139">
      <c r="A139" s="14" t="inlineStr">
        <is>
          <t xml:space="preserve">BETARUN-0139</t>
        </is>
      </c>
      <c r="B139" s="14" t="inlineStr">
        <is>
          <t xml:space="preserve">Beta Release</t>
        </is>
      </c>
      <c r="C139" s="14" t="inlineStr">
        <is>
          <t xml:space="preserve">RR-0139</t>
        </is>
      </c>
      <c r="D139" s="14" t="str">
        <f>IFERROR(VLOOKUP($C139,'Test Library'!$A:$P,2,FALSE),"")</f>
        <v>Rota Builder</v>
      </c>
      <c r="E139" s="14" t="str">
        <f>IFERROR(VLOOKUP($C139,'Test Library'!$A:$P,3,FALSE),"")</f>
        <v>Views, totals and tools</v>
      </c>
      <c r="F139" s="14" t="str">
        <f>IFERROR(VLOOKUP($C139,'Test Library'!$A:$P,5,FALSE),"")</f>
        <v>Open the overflow menu on mobile</v>
      </c>
      <c r="G139" s="14" t="str">
        <f>IFERROR(VLOOKUP($C139,'Test Library'!$A:$P,6,FALSE),"")</f>
        <v>High</v>
      </c>
      <c r="H139" s="14" t="inlineStr">
        <is>
          <t xml:space="preserve">Staging</t>
        </is>
      </c>
      <c r="I139" s="14" t="inlineStr">
        <is>
          <t xml:space="preserve">Not Run</t>
        </is>
      </c>
      <c r="J139" s="14"/>
      <c r="K139" s="17"/>
      <c r="L139" s="14"/>
      <c r="M139" s="14"/>
      <c r="N139" s="14"/>
      <c r="O139" s="14" t="inlineStr">
        <is>
          <t xml:space="preserve">Not Required</t>
        </is>
      </c>
      <c r="P139" s="14" t="str">
        <f>IFERROR(VLOOKUP($C139,'Test Library'!$A:$P,14,FALSE),"")</f>
        <v>Yes</v>
      </c>
      <c r="Q139" s="14"/>
    </row>
    <row r="140">
      <c r="A140" s="14" t="inlineStr">
        <is>
          <t xml:space="preserve">BETARUN-0140</t>
        </is>
      </c>
      <c r="B140" s="14" t="inlineStr">
        <is>
          <t xml:space="preserve">Beta Release</t>
        </is>
      </c>
      <c r="C140" s="14" t="inlineStr">
        <is>
          <t xml:space="preserve">RR-0140</t>
        </is>
      </c>
      <c r="D140" s="14" t="str">
        <f>IFERROR(VLOOKUP($C140,'Test Library'!$A:$P,2,FALSE),"")</f>
        <v>Rota Builder</v>
      </c>
      <c r="E140" s="14" t="str">
        <f>IFERROR(VLOOKUP($C140,'Test Library'!$A:$P,3,FALSE),"")</f>
        <v>Views, totals and tools</v>
      </c>
      <c r="F140" s="14" t="str">
        <f>IFERROR(VLOOKUP($C140,'Test Library'!$A:$P,5,FALSE),"")</f>
        <v>Use copy-last-week</v>
      </c>
      <c r="G140" s="14" t="str">
        <f>IFERROR(VLOOKUP($C140,'Test Library'!$A:$P,6,FALSE),"")</f>
        <v>Critical</v>
      </c>
      <c r="H140" s="14" t="inlineStr">
        <is>
          <t xml:space="preserve">Staging</t>
        </is>
      </c>
      <c r="I140" s="14" t="inlineStr">
        <is>
          <t xml:space="preserve">Not Run</t>
        </is>
      </c>
      <c r="J140" s="14"/>
      <c r="K140" s="17"/>
      <c r="L140" s="14"/>
      <c r="M140" s="14"/>
      <c r="N140" s="14"/>
      <c r="O140" s="14" t="inlineStr">
        <is>
          <t xml:space="preserve">Not Required</t>
        </is>
      </c>
      <c r="P140" s="14" t="str">
        <f>IFERROR(VLOOKUP($C140,'Test Library'!$A:$P,14,FALSE),"")</f>
        <v>Yes</v>
      </c>
      <c r="Q140" s="14"/>
    </row>
    <row r="141">
      <c r="A141" s="14" t="inlineStr">
        <is>
          <t xml:space="preserve">BETARUN-0141</t>
        </is>
      </c>
      <c r="B141" s="14" t="inlineStr">
        <is>
          <t xml:space="preserve">Beta Release</t>
        </is>
      </c>
      <c r="C141" s="14" t="inlineStr">
        <is>
          <t xml:space="preserve">RR-0141</t>
        </is>
      </c>
      <c r="D141" s="14" t="str">
        <f>IFERROR(VLOOKUP($C141,'Test Library'!$A:$P,2,FALSE),"")</f>
        <v>Rota Builder</v>
      </c>
      <c r="E141" s="14" t="str">
        <f>IFERROR(VLOOKUP($C141,'Test Library'!$A:$P,3,FALSE),"")</f>
        <v>Views, totals and tools</v>
      </c>
      <c r="F141" s="14" t="str">
        <f>IFERROR(VLOOKUP($C141,'Test Library'!$A:$P,5,FALSE),"")</f>
        <v>Clear all shifts</v>
      </c>
      <c r="G141" s="14" t="str">
        <f>IFERROR(VLOOKUP($C141,'Test Library'!$A:$P,6,FALSE),"")</f>
        <v>Critical</v>
      </c>
      <c r="H141" s="14" t="inlineStr">
        <is>
          <t xml:space="preserve">Staging</t>
        </is>
      </c>
      <c r="I141" s="14" t="inlineStr">
        <is>
          <t xml:space="preserve">Not Run</t>
        </is>
      </c>
      <c r="J141" s="14"/>
      <c r="K141" s="17"/>
      <c r="L141" s="14"/>
      <c r="M141" s="14"/>
      <c r="N141" s="14"/>
      <c r="O141" s="14" t="inlineStr">
        <is>
          <t xml:space="preserve">Not Required</t>
        </is>
      </c>
      <c r="P141" s="14" t="str">
        <f>IFERROR(VLOOKUP($C141,'Test Library'!$A:$P,14,FALSE),"")</f>
        <v>Yes</v>
      </c>
      <c r="Q141" s="14"/>
    </row>
    <row r="142">
      <c r="A142" s="14" t="inlineStr">
        <is>
          <t xml:space="preserve">BETARUN-0142</t>
        </is>
      </c>
      <c r="B142" s="14" t="inlineStr">
        <is>
          <t xml:space="preserve">Beta Release</t>
        </is>
      </c>
      <c r="C142" s="14" t="inlineStr">
        <is>
          <t xml:space="preserve">RR-0142</t>
        </is>
      </c>
      <c r="D142" s="14" t="str">
        <f>IFERROR(VLOOKUP($C142,'Test Library'!$A:$P,2,FALSE),"")</f>
        <v>Rota Builder</v>
      </c>
      <c r="E142" s="14" t="str">
        <f>IFERROR(VLOOKUP($C142,'Test Library'!$A:$P,3,FALSE),"")</f>
        <v>Views, totals and tools</v>
      </c>
      <c r="F142" s="14" t="str">
        <f>IFERROR(VLOOKUP($C142,'Test Library'!$A:$P,5,FALSE),"")</f>
        <v>Undo the last supported action</v>
      </c>
      <c r="G142" s="14" t="str">
        <f>IFERROR(VLOOKUP($C142,'Test Library'!$A:$P,6,FALSE),"")</f>
        <v>Medium</v>
      </c>
      <c r="H142" s="14" t="inlineStr">
        <is>
          <t xml:space="preserve">Staging</t>
        </is>
      </c>
      <c r="I142" s="14" t="inlineStr">
        <is>
          <t xml:space="preserve">Not Run</t>
        </is>
      </c>
      <c r="J142" s="14"/>
      <c r="K142" s="17"/>
      <c r="L142" s="14"/>
      <c r="M142" s="14"/>
      <c r="N142" s="14"/>
      <c r="O142" s="14" t="inlineStr">
        <is>
          <t xml:space="preserve">Not Required</t>
        </is>
      </c>
      <c r="P142" s="14" t="str">
        <f>IFERROR(VLOOKUP($C142,'Test Library'!$A:$P,14,FALSE),"")</f>
        <v>No</v>
      </c>
      <c r="Q142" s="14"/>
    </row>
    <row r="143">
      <c r="A143" s="14" t="inlineStr">
        <is>
          <t xml:space="preserve">BETARUN-0143</t>
        </is>
      </c>
      <c r="B143" s="14" t="inlineStr">
        <is>
          <t xml:space="preserve">Beta Release</t>
        </is>
      </c>
      <c r="C143" s="14" t="inlineStr">
        <is>
          <t xml:space="preserve">RR-0143</t>
        </is>
      </c>
      <c r="D143" s="14" t="str">
        <f>IFERROR(VLOOKUP($C143,'Test Library'!$A:$P,2,FALSE),"")</f>
        <v>Rota Builder</v>
      </c>
      <c r="E143" s="14" t="str">
        <f>IFERROR(VLOOKUP($C143,'Test Library'!$A:$P,3,FALSE),"")</f>
        <v>Views, totals and tools</v>
      </c>
      <c r="F143" s="14" t="str">
        <f>IFERROR(VLOOKUP($C143,'Test Library'!$A:$P,5,FALSE),"")</f>
        <v>Calculate daily and weekly scheduled hours</v>
      </c>
      <c r="G143" s="14" t="str">
        <f>IFERROR(VLOOKUP($C143,'Test Library'!$A:$P,6,FALSE),"")</f>
        <v>Critical</v>
      </c>
      <c r="H143" s="14" t="inlineStr">
        <is>
          <t xml:space="preserve">Staging</t>
        </is>
      </c>
      <c r="I143" s="14" t="inlineStr">
        <is>
          <t xml:space="preserve">Not Run</t>
        </is>
      </c>
      <c r="J143" s="14"/>
      <c r="K143" s="17"/>
      <c r="L143" s="14"/>
      <c r="M143" s="14"/>
      <c r="N143" s="14"/>
      <c r="O143" s="14" t="inlineStr">
        <is>
          <t xml:space="preserve">Not Required</t>
        </is>
      </c>
      <c r="P143" s="14" t="str">
        <f>IFERROR(VLOOKUP($C143,'Test Library'!$A:$P,14,FALSE),"")</f>
        <v>Yes</v>
      </c>
      <c r="Q143" s="14"/>
    </row>
    <row r="144">
      <c r="A144" s="14" t="inlineStr">
        <is>
          <t xml:space="preserve">BETARUN-0144</t>
        </is>
      </c>
      <c r="B144" s="14" t="inlineStr">
        <is>
          <t xml:space="preserve">Beta Release</t>
        </is>
      </c>
      <c r="C144" s="14" t="inlineStr">
        <is>
          <t xml:space="preserve">RR-0144</t>
        </is>
      </c>
      <c r="D144" s="14" t="str">
        <f>IFERROR(VLOOKUP($C144,'Test Library'!$A:$P,2,FALSE),"")</f>
        <v>Rota Builder</v>
      </c>
      <c r="E144" s="14" t="str">
        <f>IFERROR(VLOOKUP($C144,'Test Library'!$A:$P,3,FALSE),"")</f>
        <v>Views, totals and tools</v>
      </c>
      <c r="F144" s="14" t="str">
        <f>IFERROR(VLOOKUP($C144,'Test Library'!$A:$P,5,FALSE),"")</f>
        <v>Calculate estimated labour cost</v>
      </c>
      <c r="G144" s="14" t="str">
        <f>IFERROR(VLOOKUP($C144,'Test Library'!$A:$P,6,FALSE),"")</f>
        <v>Critical</v>
      </c>
      <c r="H144" s="14" t="inlineStr">
        <is>
          <t xml:space="preserve">Staging</t>
        </is>
      </c>
      <c r="I144" s="14" t="inlineStr">
        <is>
          <t xml:space="preserve">Not Run</t>
        </is>
      </c>
      <c r="J144" s="14"/>
      <c r="K144" s="17"/>
      <c r="L144" s="14"/>
      <c r="M144" s="14"/>
      <c r="N144" s="14"/>
      <c r="O144" s="14" t="inlineStr">
        <is>
          <t xml:space="preserve">Not Required</t>
        </is>
      </c>
      <c r="P144" s="14" t="str">
        <f>IFERROR(VLOOKUP($C144,'Test Library'!$A:$P,14,FALSE),"")</f>
        <v>Yes</v>
      </c>
      <c r="Q144" s="14"/>
    </row>
    <row r="145">
      <c r="A145" s="14" t="inlineStr">
        <is>
          <t xml:space="preserve">BETARUN-0145</t>
        </is>
      </c>
      <c r="B145" s="14" t="inlineStr">
        <is>
          <t xml:space="preserve">Beta Release</t>
        </is>
      </c>
      <c r="C145" s="14" t="inlineStr">
        <is>
          <t xml:space="preserve">RR-0145</t>
        </is>
      </c>
      <c r="D145" s="14" t="str">
        <f>IFERROR(VLOOKUP($C145,'Test Library'!$A:$P,2,FALSE),"")</f>
        <v>Rota Builder</v>
      </c>
      <c r="E145" s="14" t="str">
        <f>IFERROR(VLOOKUP($C145,'Test Library'!$A:$P,3,FALSE),"")</f>
        <v>Views, totals and tools</v>
      </c>
      <c r="F145" s="14" t="str">
        <f>IFERROR(VLOOKUP($C145,'Test Library'!$A:$P,5,FALSE),"")</f>
        <v>Display 200 employees in grouped lists</v>
      </c>
      <c r="G145" s="14" t="str">
        <f>IFERROR(VLOOKUP($C145,'Test Library'!$A:$P,6,FALSE),"")</f>
        <v>High</v>
      </c>
      <c r="H145" s="14" t="inlineStr">
        <is>
          <t xml:space="preserve">Staging</t>
        </is>
      </c>
      <c r="I145" s="14" t="inlineStr">
        <is>
          <t xml:space="preserve">Not Run</t>
        </is>
      </c>
      <c r="J145" s="14"/>
      <c r="K145" s="17"/>
      <c r="L145" s="14"/>
      <c r="M145" s="14"/>
      <c r="N145" s="14"/>
      <c r="O145" s="14" t="inlineStr">
        <is>
          <t xml:space="preserve">Not Required</t>
        </is>
      </c>
      <c r="P145" s="14" t="str">
        <f>IFERROR(VLOOKUP($C145,'Test Library'!$A:$P,14,FALSE),"")</f>
        <v>Yes</v>
      </c>
      <c r="Q145" s="14"/>
    </row>
    <row r="146">
      <c r="A146" s="14" t="inlineStr">
        <is>
          <t xml:space="preserve">BETARUN-0146</t>
        </is>
      </c>
      <c r="B146" s="14" t="inlineStr">
        <is>
          <t xml:space="preserve">Beta Release</t>
        </is>
      </c>
      <c r="C146" s="14" t="inlineStr">
        <is>
          <t xml:space="preserve">RR-0146</t>
        </is>
      </c>
      <c r="D146" s="14" t="str">
        <f>IFERROR(VLOOKUP($C146,'Test Library'!$A:$P,2,FALSE),"")</f>
        <v>Rota Builder</v>
      </c>
      <c r="E146" s="14" t="str">
        <f>IFERROR(VLOOKUP($C146,'Test Library'!$A:$P,3,FALSE),"")</f>
        <v>Views, totals and tools</v>
      </c>
      <c r="F146" s="14" t="str">
        <f>IFERROR(VLOOKUP($C146,'Test Library'!$A:$P,5,FALSE),"")</f>
        <v>Search employees by name</v>
      </c>
      <c r="G146" s="14" t="str">
        <f>IFERROR(VLOOKUP($C146,'Test Library'!$A:$P,6,FALSE),"")</f>
        <v>Medium</v>
      </c>
      <c r="H146" s="14" t="inlineStr">
        <is>
          <t xml:space="preserve">Staging</t>
        </is>
      </c>
      <c r="I146" s="14" t="inlineStr">
        <is>
          <t xml:space="preserve">Not Run</t>
        </is>
      </c>
      <c r="J146" s="14"/>
      <c r="K146" s="17"/>
      <c r="L146" s="14"/>
      <c r="M146" s="14"/>
      <c r="N146" s="14"/>
      <c r="O146" s="14" t="inlineStr">
        <is>
          <t xml:space="preserve">Not Required</t>
        </is>
      </c>
      <c r="P146" s="14" t="str">
        <f>IFERROR(VLOOKUP($C146,'Test Library'!$A:$P,14,FALSE),"")</f>
        <v>No</v>
      </c>
      <c r="Q146" s="14"/>
    </row>
    <row r="147">
      <c r="A147" s="14" t="inlineStr">
        <is>
          <t xml:space="preserve">BETARUN-0147</t>
        </is>
      </c>
      <c r="B147" s="14" t="inlineStr">
        <is>
          <t xml:space="preserve">Beta Release</t>
        </is>
      </c>
      <c r="C147" s="14" t="inlineStr">
        <is>
          <t xml:space="preserve">RR-0147</t>
        </is>
      </c>
      <c r="D147" s="14" t="str">
        <f>IFERROR(VLOOKUP($C147,'Test Library'!$A:$P,2,FALSE),"")</f>
        <v>Rota Builder</v>
      </c>
      <c r="E147" s="14" t="str">
        <f>IFERROR(VLOOKUP($C147,'Test Library'!$A:$P,3,FALSE),"")</f>
        <v>Views, totals and tools</v>
      </c>
      <c r="F147" s="14" t="str">
        <f>IFERROR(VLOOKUP($C147,'Test Library'!$A:$P,5,FALSE),"")</f>
        <v>Show an employee with no role colour configured</v>
      </c>
      <c r="G147" s="14" t="str">
        <f>IFERROR(VLOOKUP($C147,'Test Library'!$A:$P,6,FALSE),"")</f>
        <v>Low</v>
      </c>
      <c r="H147" s="14" t="inlineStr">
        <is>
          <t xml:space="preserve">Staging</t>
        </is>
      </c>
      <c r="I147" s="14" t="inlineStr">
        <is>
          <t xml:space="preserve">Not Run</t>
        </is>
      </c>
      <c r="J147" s="14"/>
      <c r="K147" s="17"/>
      <c r="L147" s="14"/>
      <c r="M147" s="14"/>
      <c r="N147" s="14"/>
      <c r="O147" s="14" t="inlineStr">
        <is>
          <t xml:space="preserve">Not Required</t>
        </is>
      </c>
      <c r="P147" s="14" t="str">
        <f>IFERROR(VLOOKUP($C147,'Test Library'!$A:$P,14,FALSE),"")</f>
        <v>No</v>
      </c>
      <c r="Q147" s="14"/>
    </row>
    <row r="148">
      <c r="A148" s="14" t="inlineStr">
        <is>
          <t xml:space="preserve">BETARUN-0148</t>
        </is>
      </c>
      <c r="B148" s="14" t="inlineStr">
        <is>
          <t xml:space="preserve">Beta Release</t>
        </is>
      </c>
      <c r="C148" s="14" t="inlineStr">
        <is>
          <t xml:space="preserve">RR-0148</t>
        </is>
      </c>
      <c r="D148" s="14" t="str">
        <f>IFERROR(VLOOKUP($C148,'Test Library'!$A:$P,2,FALSE),"")</f>
        <v>Publishing &amp; Notifications</v>
      </c>
      <c r="E148" s="14" t="str">
        <f>IFERROR(VLOOKUP($C148,'Test Library'!$A:$P,3,FALSE),"")</f>
        <v>Rota lifecycle</v>
      </c>
      <c r="F148" s="14" t="str">
        <f>IFERROR(VLOOKUP($C148,'Test Library'!$A:$P,5,FALSE),"")</f>
        <v>Publish a valid draft rota</v>
      </c>
      <c r="G148" s="14" t="str">
        <f>IFERROR(VLOOKUP($C148,'Test Library'!$A:$P,6,FALSE),"")</f>
        <v>Critical</v>
      </c>
      <c r="H148" s="14" t="inlineStr">
        <is>
          <t xml:space="preserve">Staging</t>
        </is>
      </c>
      <c r="I148" s="14" t="inlineStr">
        <is>
          <t xml:space="preserve">Not Run</t>
        </is>
      </c>
      <c r="J148" s="14"/>
      <c r="K148" s="17"/>
      <c r="L148" s="14"/>
      <c r="M148" s="14"/>
      <c r="N148" s="14"/>
      <c r="O148" s="14" t="inlineStr">
        <is>
          <t xml:space="preserve">Not Required</t>
        </is>
      </c>
      <c r="P148" s="14" t="str">
        <f>IFERROR(VLOOKUP($C148,'Test Library'!$A:$P,14,FALSE),"")</f>
        <v>Yes</v>
      </c>
      <c r="Q148" s="14"/>
    </row>
    <row r="149">
      <c r="A149" s="14" t="inlineStr">
        <is>
          <t xml:space="preserve">BETARUN-0149</t>
        </is>
      </c>
      <c r="B149" s="14" t="inlineStr">
        <is>
          <t xml:space="preserve">Beta Release</t>
        </is>
      </c>
      <c r="C149" s="14" t="inlineStr">
        <is>
          <t xml:space="preserve">RR-0149</t>
        </is>
      </c>
      <c r="D149" s="14" t="str">
        <f>IFERROR(VLOOKUP($C149,'Test Library'!$A:$P,2,FALSE),"")</f>
        <v>Publishing &amp; Notifications</v>
      </c>
      <c r="E149" s="14" t="str">
        <f>IFERROR(VLOOKUP($C149,'Test Library'!$A:$P,3,FALSE),"")</f>
        <v>Rota lifecycle</v>
      </c>
      <c r="F149" s="14" t="str">
        <f>IFERROR(VLOOKUP($C149,'Test Library'!$A:$P,5,FALSE),"")</f>
        <v>Publish an empty rota</v>
      </c>
      <c r="G149" s="14" t="str">
        <f>IFERROR(VLOOKUP($C149,'Test Library'!$A:$P,6,FALSE),"")</f>
        <v>High</v>
      </c>
      <c r="H149" s="14" t="inlineStr">
        <is>
          <t xml:space="preserve">Staging</t>
        </is>
      </c>
      <c r="I149" s="14" t="inlineStr">
        <is>
          <t xml:space="preserve">Not Run</t>
        </is>
      </c>
      <c r="J149" s="14"/>
      <c r="K149" s="17"/>
      <c r="L149" s="14"/>
      <c r="M149" s="14"/>
      <c r="N149" s="14"/>
      <c r="O149" s="14" t="inlineStr">
        <is>
          <t xml:space="preserve">Not Required</t>
        </is>
      </c>
      <c r="P149" s="14" t="str">
        <f>IFERROR(VLOOKUP($C149,'Test Library'!$A:$P,14,FALSE),"")</f>
        <v>Yes</v>
      </c>
      <c r="Q149" s="14"/>
    </row>
    <row r="150">
      <c r="A150" s="14" t="inlineStr">
        <is>
          <t xml:space="preserve">BETARUN-0150</t>
        </is>
      </c>
      <c r="B150" s="14" t="inlineStr">
        <is>
          <t xml:space="preserve">Beta Release</t>
        </is>
      </c>
      <c r="C150" s="14" t="inlineStr">
        <is>
          <t xml:space="preserve">RR-0150</t>
        </is>
      </c>
      <c r="D150" s="14" t="str">
        <f>IFERROR(VLOOKUP($C150,'Test Library'!$A:$P,2,FALSE),"")</f>
        <v>Publishing &amp; Notifications</v>
      </c>
      <c r="E150" s="14" t="str">
        <f>IFERROR(VLOOKUP($C150,'Test Library'!$A:$P,3,FALSE),"")</f>
        <v>Rota lifecycle</v>
      </c>
      <c r="F150" s="14" t="str">
        <f>IFERROR(VLOOKUP($C150,'Test Library'!$A:$P,5,FALSE),"")</f>
        <v>Publish with unassigned shifts</v>
      </c>
      <c r="G150" s="14" t="str">
        <f>IFERROR(VLOOKUP($C150,'Test Library'!$A:$P,6,FALSE),"")</f>
        <v>High</v>
      </c>
      <c r="H150" s="14" t="inlineStr">
        <is>
          <t xml:space="preserve">Staging</t>
        </is>
      </c>
      <c r="I150" s="14" t="inlineStr">
        <is>
          <t xml:space="preserve">Not Run</t>
        </is>
      </c>
      <c r="J150" s="14"/>
      <c r="K150" s="17"/>
      <c r="L150" s="14"/>
      <c r="M150" s="14"/>
      <c r="N150" s="14"/>
      <c r="O150" s="14" t="inlineStr">
        <is>
          <t xml:space="preserve">Not Required</t>
        </is>
      </c>
      <c r="P150" s="14" t="str">
        <f>IFERROR(VLOOKUP($C150,'Test Library'!$A:$P,14,FALSE),"")</f>
        <v>Yes</v>
      </c>
      <c r="Q150" s="14"/>
    </row>
    <row r="151">
      <c r="A151" s="14" t="inlineStr">
        <is>
          <t xml:space="preserve">BETARUN-0151</t>
        </is>
      </c>
      <c r="B151" s="14" t="inlineStr">
        <is>
          <t xml:space="preserve">Beta Release</t>
        </is>
      </c>
      <c r="C151" s="14" t="inlineStr">
        <is>
          <t xml:space="preserve">RR-0151</t>
        </is>
      </c>
      <c r="D151" s="14" t="str">
        <f>IFERROR(VLOOKUP($C151,'Test Library'!$A:$P,2,FALSE),"")</f>
        <v>Publishing &amp; Notifications</v>
      </c>
      <c r="E151" s="14" t="str">
        <f>IFERROR(VLOOKUP($C151,'Test Library'!$A:$P,3,FALSE),"")</f>
        <v>Rota lifecycle</v>
      </c>
      <c r="F151" s="14" t="str">
        <f>IFERROR(VLOOKUP($C151,'Test Library'!$A:$P,5,FALSE),"")</f>
        <v>Publish while another manager edits the draft</v>
      </c>
      <c r="G151" s="14" t="str">
        <f>IFERROR(VLOOKUP($C151,'Test Library'!$A:$P,6,FALSE),"")</f>
        <v>Critical</v>
      </c>
      <c r="H151" s="14" t="inlineStr">
        <is>
          <t xml:space="preserve">Staging</t>
        </is>
      </c>
      <c r="I151" s="14" t="inlineStr">
        <is>
          <t xml:space="preserve">Not Run</t>
        </is>
      </c>
      <c r="J151" s="14"/>
      <c r="K151" s="17"/>
      <c r="L151" s="14"/>
      <c r="M151" s="14"/>
      <c r="N151" s="14"/>
      <c r="O151" s="14" t="inlineStr">
        <is>
          <t xml:space="preserve">Not Required</t>
        </is>
      </c>
      <c r="P151" s="14" t="str">
        <f>IFERROR(VLOOKUP($C151,'Test Library'!$A:$P,14,FALSE),"")</f>
        <v>Yes</v>
      </c>
      <c r="Q151" s="14"/>
    </row>
    <row r="152">
      <c r="A152" s="14" t="inlineStr">
        <is>
          <t xml:space="preserve">BETARUN-0152</t>
        </is>
      </c>
      <c r="B152" s="14" t="inlineStr">
        <is>
          <t xml:space="preserve">Beta Release</t>
        </is>
      </c>
      <c r="C152" s="14" t="inlineStr">
        <is>
          <t xml:space="preserve">RR-0152</t>
        </is>
      </c>
      <c r="D152" s="14" t="str">
        <f>IFERROR(VLOOKUP($C152,'Test Library'!$A:$P,2,FALSE),"")</f>
        <v>Publishing &amp; Notifications</v>
      </c>
      <c r="E152" s="14" t="str">
        <f>IFERROR(VLOOKUP($C152,'Test Library'!$A:$P,3,FALSE),"")</f>
        <v>Rota lifecycle</v>
      </c>
      <c r="F152" s="14" t="str">
        <f>IFERROR(VLOOKUP($C152,'Test Library'!$A:$P,5,FALSE),"")</f>
        <v>Schedule publication for a future date/time</v>
      </c>
      <c r="G152" s="14" t="str">
        <f>IFERROR(VLOOKUP($C152,'Test Library'!$A:$P,6,FALSE),"")</f>
        <v>Critical</v>
      </c>
      <c r="H152" s="14" t="inlineStr">
        <is>
          <t xml:space="preserve">Staging</t>
        </is>
      </c>
      <c r="I152" s="14" t="inlineStr">
        <is>
          <t xml:space="preserve">Not Run</t>
        </is>
      </c>
      <c r="J152" s="14"/>
      <c r="K152" s="17"/>
      <c r="L152" s="14"/>
      <c r="M152" s="14"/>
      <c r="N152" s="14"/>
      <c r="O152" s="14" t="inlineStr">
        <is>
          <t xml:space="preserve">Not Required</t>
        </is>
      </c>
      <c r="P152" s="14" t="str">
        <f>IFERROR(VLOOKUP($C152,'Test Library'!$A:$P,14,FALSE),"")</f>
        <v>Yes</v>
      </c>
      <c r="Q152" s="14"/>
    </row>
    <row r="153">
      <c r="A153" s="14" t="inlineStr">
        <is>
          <t xml:space="preserve">BETARUN-0153</t>
        </is>
      </c>
      <c r="B153" s="14" t="inlineStr">
        <is>
          <t xml:space="preserve">Beta Release</t>
        </is>
      </c>
      <c r="C153" s="14" t="inlineStr">
        <is>
          <t xml:space="preserve">RR-0153</t>
        </is>
      </c>
      <c r="D153" s="14" t="str">
        <f>IFERROR(VLOOKUP($C153,'Test Library'!$A:$P,2,FALSE),"")</f>
        <v>Publishing &amp; Notifications</v>
      </c>
      <c r="E153" s="14" t="str">
        <f>IFERROR(VLOOKUP($C153,'Test Library'!$A:$P,3,FALSE),"")</f>
        <v>Rota lifecycle</v>
      </c>
      <c r="F153" s="14" t="str">
        <f>IFERROR(VLOOKUP($C153,'Test Library'!$A:$P,5,FALSE),"")</f>
        <v>Cancel scheduled publication</v>
      </c>
      <c r="G153" s="14" t="str">
        <f>IFERROR(VLOOKUP($C153,'Test Library'!$A:$P,6,FALSE),"")</f>
        <v>High</v>
      </c>
      <c r="H153" s="14" t="inlineStr">
        <is>
          <t xml:space="preserve">Staging</t>
        </is>
      </c>
      <c r="I153" s="14" t="inlineStr">
        <is>
          <t xml:space="preserve">Not Run</t>
        </is>
      </c>
      <c r="J153" s="14"/>
      <c r="K153" s="17"/>
      <c r="L153" s="14"/>
      <c r="M153" s="14"/>
      <c r="N153" s="14"/>
      <c r="O153" s="14" t="inlineStr">
        <is>
          <t xml:space="preserve">Not Required</t>
        </is>
      </c>
      <c r="P153" s="14" t="str">
        <f>IFERROR(VLOOKUP($C153,'Test Library'!$A:$P,14,FALSE),"")</f>
        <v>Yes</v>
      </c>
      <c r="Q153" s="14"/>
    </row>
    <row r="154">
      <c r="A154" s="14" t="inlineStr">
        <is>
          <t xml:space="preserve">BETARUN-0154</t>
        </is>
      </c>
      <c r="B154" s="14" t="inlineStr">
        <is>
          <t xml:space="preserve">Beta Release</t>
        </is>
      </c>
      <c r="C154" s="14" t="inlineStr">
        <is>
          <t xml:space="preserve">RR-0154</t>
        </is>
      </c>
      <c r="D154" s="14" t="str">
        <f>IFERROR(VLOOKUP($C154,'Test Library'!$A:$P,2,FALSE),"")</f>
        <v>Publishing &amp; Notifications</v>
      </c>
      <c r="E154" s="14" t="str">
        <f>IFERROR(VLOOKUP($C154,'Test Library'!$A:$P,3,FALSE),"")</f>
        <v>Rota lifecycle</v>
      </c>
      <c r="F154" s="14" t="str">
        <f>IFERROR(VLOOKUP($C154,'Test Library'!$A:$P,5,FALSE),"")</f>
        <v>Edit a shift after publication</v>
      </c>
      <c r="G154" s="14" t="str">
        <f>IFERROR(VLOOKUP($C154,'Test Library'!$A:$P,6,FALSE),"")</f>
        <v>Critical</v>
      </c>
      <c r="H154" s="14" t="inlineStr">
        <is>
          <t xml:space="preserve">Staging</t>
        </is>
      </c>
      <c r="I154" s="14" t="inlineStr">
        <is>
          <t xml:space="preserve">Not Run</t>
        </is>
      </c>
      <c r="J154" s="14"/>
      <c r="K154" s="17"/>
      <c r="L154" s="14"/>
      <c r="M154" s="14"/>
      <c r="N154" s="14"/>
      <c r="O154" s="14" t="inlineStr">
        <is>
          <t xml:space="preserve">Not Required</t>
        </is>
      </c>
      <c r="P154" s="14" t="str">
        <f>IFERROR(VLOOKUP($C154,'Test Library'!$A:$P,14,FALSE),"")</f>
        <v>Yes</v>
      </c>
      <c r="Q154" s="14"/>
    </row>
    <row r="155">
      <c r="A155" s="14" t="inlineStr">
        <is>
          <t xml:space="preserve">BETARUN-0155</t>
        </is>
      </c>
      <c r="B155" s="14" t="inlineStr">
        <is>
          <t xml:space="preserve">Beta Release</t>
        </is>
      </c>
      <c r="C155" s="14" t="inlineStr">
        <is>
          <t xml:space="preserve">RR-0155</t>
        </is>
      </c>
      <c r="D155" s="14" t="str">
        <f>IFERROR(VLOOKUP($C155,'Test Library'!$A:$P,2,FALSE),"")</f>
        <v>Publishing &amp; Notifications</v>
      </c>
      <c r="E155" s="14" t="str">
        <f>IFERROR(VLOOKUP($C155,'Test Library'!$A:$P,3,FALSE),"")</f>
        <v>Rota lifecycle</v>
      </c>
      <c r="F155" s="14" t="str">
        <f>IFERROR(VLOOKUP($C155,'Test Library'!$A:$P,5,FALSE),"")</f>
        <v>Republish changes</v>
      </c>
      <c r="G155" s="14" t="str">
        <f>IFERROR(VLOOKUP($C155,'Test Library'!$A:$P,6,FALSE),"")</f>
        <v>Critical</v>
      </c>
      <c r="H155" s="14" t="inlineStr">
        <is>
          <t xml:space="preserve">Staging</t>
        </is>
      </c>
      <c r="I155" s="14" t="inlineStr">
        <is>
          <t xml:space="preserve">Not Run</t>
        </is>
      </c>
      <c r="J155" s="14"/>
      <c r="K155" s="17"/>
      <c r="L155" s="14"/>
      <c r="M155" s="14"/>
      <c r="N155" s="14"/>
      <c r="O155" s="14" t="inlineStr">
        <is>
          <t xml:space="preserve">Not Required</t>
        </is>
      </c>
      <c r="P155" s="14" t="str">
        <f>IFERROR(VLOOKUP($C155,'Test Library'!$A:$P,14,FALSE),"")</f>
        <v>Yes</v>
      </c>
      <c r="Q155" s="14"/>
    </row>
    <row r="156">
      <c r="A156" s="14" t="inlineStr">
        <is>
          <t xml:space="preserve">BETARUN-0156</t>
        </is>
      </c>
      <c r="B156" s="14" t="inlineStr">
        <is>
          <t xml:space="preserve">Beta Release</t>
        </is>
      </c>
      <c r="C156" s="14" t="inlineStr">
        <is>
          <t xml:space="preserve">RR-0156</t>
        </is>
      </c>
      <c r="D156" s="14" t="str">
        <f>IFERROR(VLOOKUP($C156,'Test Library'!$A:$P,2,FALSE),"")</f>
        <v>Publishing &amp; Notifications</v>
      </c>
      <c r="E156" s="14" t="str">
        <f>IFERROR(VLOOKUP($C156,'Test Library'!$A:$P,3,FALSE),"")</f>
        <v>Rota lifecycle</v>
      </c>
      <c r="F156" s="14" t="str">
        <f>IFERROR(VLOOKUP($C156,'Test Library'!$A:$P,5,FALSE),"")</f>
        <v>Remove a published employee shift</v>
      </c>
      <c r="G156" s="14" t="str">
        <f>IFERROR(VLOOKUP($C156,'Test Library'!$A:$P,6,FALSE),"")</f>
        <v>Critical</v>
      </c>
      <c r="H156" s="14" t="inlineStr">
        <is>
          <t xml:space="preserve">Staging</t>
        </is>
      </c>
      <c r="I156" s="14" t="inlineStr">
        <is>
          <t xml:space="preserve">Not Run</t>
        </is>
      </c>
      <c r="J156" s="14"/>
      <c r="K156" s="17"/>
      <c r="L156" s="14"/>
      <c r="M156" s="14"/>
      <c r="N156" s="14"/>
      <c r="O156" s="14" t="inlineStr">
        <is>
          <t xml:space="preserve">Not Required</t>
        </is>
      </c>
      <c r="P156" s="14" t="str">
        <f>IFERROR(VLOOKUP($C156,'Test Library'!$A:$P,14,FALSE),"")</f>
        <v>Yes</v>
      </c>
      <c r="Q156" s="14"/>
    </row>
    <row r="157">
      <c r="A157" s="14" t="inlineStr">
        <is>
          <t xml:space="preserve">BETARUN-0157</t>
        </is>
      </c>
      <c r="B157" s="14" t="inlineStr">
        <is>
          <t xml:space="preserve">Beta Release</t>
        </is>
      </c>
      <c r="C157" s="14" t="inlineStr">
        <is>
          <t xml:space="preserve">RR-0157</t>
        </is>
      </c>
      <c r="D157" s="14" t="str">
        <f>IFERROR(VLOOKUP($C157,'Test Library'!$A:$P,2,FALSE),"")</f>
        <v>Publishing &amp; Notifications</v>
      </c>
      <c r="E157" s="14" t="str">
        <f>IFERROR(VLOOKUP($C157,'Test Library'!$A:$P,3,FALSE),"")</f>
        <v>Rota lifecycle</v>
      </c>
      <c r="F157" s="14" t="str">
        <f>IFERROR(VLOOKUP($C157,'Test Library'!$A:$P,5,FALSE),"")</f>
        <v>Change a published shift by two hours</v>
      </c>
      <c r="G157" s="14" t="str">
        <f>IFERROR(VLOOKUP($C157,'Test Library'!$A:$P,6,FALSE),"")</f>
        <v>Critical</v>
      </c>
      <c r="H157" s="14" t="inlineStr">
        <is>
          <t xml:space="preserve">Staging</t>
        </is>
      </c>
      <c r="I157" s="14" t="inlineStr">
        <is>
          <t xml:space="preserve">Not Run</t>
        </is>
      </c>
      <c r="J157" s="14"/>
      <c r="K157" s="17"/>
      <c r="L157" s="14"/>
      <c r="M157" s="14"/>
      <c r="N157" s="14"/>
      <c r="O157" s="14" t="inlineStr">
        <is>
          <t xml:space="preserve">Not Required</t>
        </is>
      </c>
      <c r="P157" s="14" t="str">
        <f>IFERROR(VLOOKUP($C157,'Test Library'!$A:$P,14,FALSE),"")</f>
        <v>Yes</v>
      </c>
      <c r="Q157" s="14"/>
    </row>
    <row r="158">
      <c r="A158" s="14" t="inlineStr">
        <is>
          <t xml:space="preserve">BETARUN-0158</t>
        </is>
      </c>
      <c r="B158" s="14" t="inlineStr">
        <is>
          <t xml:space="preserve">Beta Release</t>
        </is>
      </c>
      <c r="C158" s="14" t="inlineStr">
        <is>
          <t xml:space="preserve">RR-0158</t>
        </is>
      </c>
      <c r="D158" s="14" t="str">
        <f>IFERROR(VLOOKUP($C158,'Test Library'!$A:$P,2,FALSE),"")</f>
        <v>Publishing &amp; Notifications</v>
      </c>
      <c r="E158" s="14" t="str">
        <f>IFERROR(VLOOKUP($C158,'Test Library'!$A:$P,3,FALSE),"")</f>
        <v>Rota lifecycle</v>
      </c>
      <c r="F158" s="14" t="str">
        <f>IFERROR(VLOOKUP($C158,'Test Library'!$A:$P,5,FALSE),"")</f>
        <v>Publish a rota spanning a daylight-saving transition</v>
      </c>
      <c r="G158" s="14" t="str">
        <f>IFERROR(VLOOKUP($C158,'Test Library'!$A:$P,6,FALSE),"")</f>
        <v>High</v>
      </c>
      <c r="H158" s="14" t="inlineStr">
        <is>
          <t xml:space="preserve">Staging</t>
        </is>
      </c>
      <c r="I158" s="14" t="inlineStr">
        <is>
          <t xml:space="preserve">Not Run</t>
        </is>
      </c>
      <c r="J158" s="14"/>
      <c r="K158" s="17"/>
      <c r="L158" s="14"/>
      <c r="M158" s="14"/>
      <c r="N158" s="14"/>
      <c r="O158" s="14" t="inlineStr">
        <is>
          <t xml:space="preserve">Not Required</t>
        </is>
      </c>
      <c r="P158" s="14" t="str">
        <f>IFERROR(VLOOKUP($C158,'Test Library'!$A:$P,14,FALSE),"")</f>
        <v>Yes</v>
      </c>
      <c r="Q158" s="14"/>
    </row>
    <row r="159">
      <c r="A159" s="14" t="inlineStr">
        <is>
          <t xml:space="preserve">BETARUN-0159</t>
        </is>
      </c>
      <c r="B159" s="14" t="inlineStr">
        <is>
          <t xml:space="preserve">Beta Release</t>
        </is>
      </c>
      <c r="C159" s="14" t="inlineStr">
        <is>
          <t xml:space="preserve">RR-0159</t>
        </is>
      </c>
      <c r="D159" s="14" t="str">
        <f>IFERROR(VLOOKUP($C159,'Test Library'!$A:$P,2,FALSE),"")</f>
        <v>Publishing &amp; Notifications</v>
      </c>
      <c r="E159" s="14" t="str">
        <f>IFERROR(VLOOKUP($C159,'Test Library'!$A:$P,3,FALSE),"")</f>
        <v>Rota lifecycle</v>
      </c>
      <c r="F159" s="14" t="str">
        <f>IFERROR(VLOOKUP($C159,'Test Library'!$A:$P,5,FALSE),"")</f>
        <v>Open historical published rota</v>
      </c>
      <c r="G159" s="14" t="str">
        <f>IFERROR(VLOOKUP($C159,'Test Library'!$A:$P,6,FALSE),"")</f>
        <v>High</v>
      </c>
      <c r="H159" s="14" t="inlineStr">
        <is>
          <t xml:space="preserve">Staging</t>
        </is>
      </c>
      <c r="I159" s="14" t="inlineStr">
        <is>
          <t xml:space="preserve">Not Run</t>
        </is>
      </c>
      <c r="J159" s="14"/>
      <c r="K159" s="17"/>
      <c r="L159" s="14"/>
      <c r="M159" s="14"/>
      <c r="N159" s="14"/>
      <c r="O159" s="14" t="inlineStr">
        <is>
          <t xml:space="preserve">Not Required</t>
        </is>
      </c>
      <c r="P159" s="14" t="str">
        <f>IFERROR(VLOOKUP($C159,'Test Library'!$A:$P,14,FALSE),"")</f>
        <v>Yes</v>
      </c>
      <c r="Q159" s="14"/>
    </row>
    <row r="160">
      <c r="A160" s="14" t="inlineStr">
        <is>
          <t xml:space="preserve">BETARUN-0160</t>
        </is>
      </c>
      <c r="B160" s="14" t="inlineStr">
        <is>
          <t xml:space="preserve">Beta Release</t>
        </is>
      </c>
      <c r="C160" s="14" t="inlineStr">
        <is>
          <t xml:space="preserve">RR-0160</t>
        </is>
      </c>
      <c r="D160" s="14" t="str">
        <f>IFERROR(VLOOKUP($C160,'Test Library'!$A:$P,2,FALSE),"")</f>
        <v>Publishing &amp; Notifications</v>
      </c>
      <c r="E160" s="14" t="str">
        <f>IFERROR(VLOOKUP($C160,'Test Library'!$A:$P,3,FALSE),"")</f>
        <v>Notification delivery</v>
      </c>
      <c r="F160" s="14" t="str">
        <f>IFERROR(VLOOKUP($C160,'Test Library'!$A:$P,5,FALSE),"")</f>
        <v>Send push and email on initial publication</v>
      </c>
      <c r="G160" s="14" t="str">
        <f>IFERROR(VLOOKUP($C160,'Test Library'!$A:$P,6,FALSE),"")</f>
        <v>Critical</v>
      </c>
      <c r="H160" s="14" t="inlineStr">
        <is>
          <t xml:space="preserve">Staging</t>
        </is>
      </c>
      <c r="I160" s="14" t="inlineStr">
        <is>
          <t xml:space="preserve">Not Run</t>
        </is>
      </c>
      <c r="J160" s="14"/>
      <c r="K160" s="17"/>
      <c r="L160" s="14"/>
      <c r="M160" s="14"/>
      <c r="N160" s="14"/>
      <c r="O160" s="14" t="inlineStr">
        <is>
          <t xml:space="preserve">Not Required</t>
        </is>
      </c>
      <c r="P160" s="14" t="str">
        <f>IFERROR(VLOOKUP($C160,'Test Library'!$A:$P,14,FALSE),"")</f>
        <v>Yes</v>
      </c>
      <c r="Q160" s="14"/>
    </row>
    <row r="161">
      <c r="A161" s="14" t="inlineStr">
        <is>
          <t xml:space="preserve">BETARUN-0161</t>
        </is>
      </c>
      <c r="B161" s="14" t="inlineStr">
        <is>
          <t xml:space="preserve">Beta Release</t>
        </is>
      </c>
      <c r="C161" s="14" t="inlineStr">
        <is>
          <t xml:space="preserve">RR-0161</t>
        </is>
      </c>
      <c r="D161" s="14" t="str">
        <f>IFERROR(VLOOKUP($C161,'Test Library'!$A:$P,2,FALSE),"")</f>
        <v>Publishing &amp; Notifications</v>
      </c>
      <c r="E161" s="14" t="str">
        <f>IFERROR(VLOOKUP($C161,'Test Library'!$A:$P,3,FALSE),"")</f>
        <v>Notification delivery</v>
      </c>
      <c r="F161" s="14" t="str">
        <f>IFERROR(VLOOKUP($C161,'Test Library'!$A:$P,5,FALSE),"")</f>
        <v>Employee has push disabled but email enabled</v>
      </c>
      <c r="G161" s="14" t="str">
        <f>IFERROR(VLOOKUP($C161,'Test Library'!$A:$P,6,FALSE),"")</f>
        <v>High</v>
      </c>
      <c r="H161" s="14" t="inlineStr">
        <is>
          <t xml:space="preserve">Staging</t>
        </is>
      </c>
      <c r="I161" s="14" t="inlineStr">
        <is>
          <t xml:space="preserve">Not Run</t>
        </is>
      </c>
      <c r="J161" s="14"/>
      <c r="K161" s="17"/>
      <c r="L161" s="14"/>
      <c r="M161" s="14"/>
      <c r="N161" s="14"/>
      <c r="O161" s="14" t="inlineStr">
        <is>
          <t xml:space="preserve">Not Required</t>
        </is>
      </c>
      <c r="P161" s="14" t="str">
        <f>IFERROR(VLOOKUP($C161,'Test Library'!$A:$P,14,FALSE),"")</f>
        <v>Yes</v>
      </c>
      <c r="Q161" s="14"/>
    </row>
    <row r="162">
      <c r="A162" s="14" t="inlineStr">
        <is>
          <t xml:space="preserve">BETARUN-0162</t>
        </is>
      </c>
      <c r="B162" s="14" t="inlineStr">
        <is>
          <t xml:space="preserve">Beta Release</t>
        </is>
      </c>
      <c r="C162" s="14" t="inlineStr">
        <is>
          <t xml:space="preserve">RR-0162</t>
        </is>
      </c>
      <c r="D162" s="14" t="str">
        <f>IFERROR(VLOOKUP($C162,'Test Library'!$A:$P,2,FALSE),"")</f>
        <v>Publishing &amp; Notifications</v>
      </c>
      <c r="E162" s="14" t="str">
        <f>IFERROR(VLOOKUP($C162,'Test Library'!$A:$P,3,FALSE),"")</f>
        <v>Notification delivery</v>
      </c>
      <c r="F162" s="14" t="str">
        <f>IFERROR(VLOOKUP($C162,'Test Library'!$A:$P,5,FALSE),"")</f>
        <v>Employee has email disabled but push enabled</v>
      </c>
      <c r="G162" s="14" t="str">
        <f>IFERROR(VLOOKUP($C162,'Test Library'!$A:$P,6,FALSE),"")</f>
        <v>High</v>
      </c>
      <c r="H162" s="14" t="inlineStr">
        <is>
          <t xml:space="preserve">Staging</t>
        </is>
      </c>
      <c r="I162" s="14" t="inlineStr">
        <is>
          <t xml:space="preserve">Not Run</t>
        </is>
      </c>
      <c r="J162" s="14"/>
      <c r="K162" s="17"/>
      <c r="L162" s="14"/>
      <c r="M162" s="14"/>
      <c r="N162" s="14"/>
      <c r="O162" s="14" t="inlineStr">
        <is>
          <t xml:space="preserve">Not Required</t>
        </is>
      </c>
      <c r="P162" s="14" t="str">
        <f>IFERROR(VLOOKUP($C162,'Test Library'!$A:$P,14,FALSE),"")</f>
        <v>Yes</v>
      </c>
      <c r="Q162" s="14"/>
    </row>
    <row r="163">
      <c r="A163" s="14" t="inlineStr">
        <is>
          <t xml:space="preserve">BETARUN-0163</t>
        </is>
      </c>
      <c r="B163" s="14" t="inlineStr">
        <is>
          <t xml:space="preserve">Beta Release</t>
        </is>
      </c>
      <c r="C163" s="14" t="inlineStr">
        <is>
          <t xml:space="preserve">RR-0163</t>
        </is>
      </c>
      <c r="D163" s="14" t="str">
        <f>IFERROR(VLOOKUP($C163,'Test Library'!$A:$P,2,FALSE),"")</f>
        <v>Publishing &amp; Notifications</v>
      </c>
      <c r="E163" s="14" t="str">
        <f>IFERROR(VLOOKUP($C163,'Test Library'!$A:$P,3,FALSE),"")</f>
        <v>Notification delivery</v>
      </c>
      <c r="F163" s="14" t="str">
        <f>IFERROR(VLOOKUP($C163,'Test Library'!$A:$P,5,FALSE),"")</f>
        <v>Both channels are unavailable</v>
      </c>
      <c r="G163" s="14" t="str">
        <f>IFERROR(VLOOKUP($C163,'Test Library'!$A:$P,6,FALSE),"")</f>
        <v>High</v>
      </c>
      <c r="H163" s="14" t="inlineStr">
        <is>
          <t xml:space="preserve">Staging</t>
        </is>
      </c>
      <c r="I163" s="14" t="inlineStr">
        <is>
          <t xml:space="preserve">Not Run</t>
        </is>
      </c>
      <c r="J163" s="14"/>
      <c r="K163" s="17"/>
      <c r="L163" s="14"/>
      <c r="M163" s="14"/>
      <c r="N163" s="14"/>
      <c r="O163" s="14" t="inlineStr">
        <is>
          <t xml:space="preserve">Not Required</t>
        </is>
      </c>
      <c r="P163" s="14" t="str">
        <f>IFERROR(VLOOKUP($C163,'Test Library'!$A:$P,14,FALSE),"")</f>
        <v>Yes</v>
      </c>
      <c r="Q163" s="14"/>
    </row>
    <row r="164">
      <c r="A164" s="14" t="inlineStr">
        <is>
          <t xml:space="preserve">BETARUN-0164</t>
        </is>
      </c>
      <c r="B164" s="14" t="inlineStr">
        <is>
          <t xml:space="preserve">Beta Release</t>
        </is>
      </c>
      <c r="C164" s="14" t="inlineStr">
        <is>
          <t xml:space="preserve">RR-0164</t>
        </is>
      </c>
      <c r="D164" s="14" t="str">
        <f>IFERROR(VLOOKUP($C164,'Test Library'!$A:$P,2,FALSE),"")</f>
        <v>Publishing &amp; Notifications</v>
      </c>
      <c r="E164" s="14" t="str">
        <f>IFERROR(VLOOKUP($C164,'Test Library'!$A:$P,3,FALSE),"")</f>
        <v>Notification delivery</v>
      </c>
      <c r="F164" s="14" t="str">
        <f>IFERROR(VLOOKUP($C164,'Test Library'!$A:$P,5,FALSE),"")</f>
        <v>Push provider returns a transient error</v>
      </c>
      <c r="G164" s="14" t="str">
        <f>IFERROR(VLOOKUP($C164,'Test Library'!$A:$P,6,FALSE),"")</f>
        <v>High</v>
      </c>
      <c r="H164" s="14" t="inlineStr">
        <is>
          <t xml:space="preserve">Staging</t>
        </is>
      </c>
      <c r="I164" s="14" t="inlineStr">
        <is>
          <t xml:space="preserve">Not Run</t>
        </is>
      </c>
      <c r="J164" s="14"/>
      <c r="K164" s="17"/>
      <c r="L164" s="14"/>
      <c r="M164" s="14"/>
      <c r="N164" s="14"/>
      <c r="O164" s="14" t="inlineStr">
        <is>
          <t xml:space="preserve">Not Required</t>
        </is>
      </c>
      <c r="P164" s="14" t="str">
        <f>IFERROR(VLOOKUP($C164,'Test Library'!$A:$P,14,FALSE),"")</f>
        <v>Yes</v>
      </c>
      <c r="Q164" s="14"/>
    </row>
    <row r="165">
      <c r="A165" s="14" t="inlineStr">
        <is>
          <t xml:space="preserve">BETARUN-0165</t>
        </is>
      </c>
      <c r="B165" s="14" t="inlineStr">
        <is>
          <t xml:space="preserve">Beta Release</t>
        </is>
      </c>
      <c r="C165" s="14" t="inlineStr">
        <is>
          <t xml:space="preserve">RR-0165</t>
        </is>
      </c>
      <c r="D165" s="14" t="str">
        <f>IFERROR(VLOOKUP($C165,'Test Library'!$A:$P,2,FALSE),"")</f>
        <v>Publishing &amp; Notifications</v>
      </c>
      <c r="E165" s="14" t="str">
        <f>IFERROR(VLOOKUP($C165,'Test Library'!$A:$P,3,FALSE),"")</f>
        <v>Notification delivery</v>
      </c>
      <c r="F165" s="14" t="str">
        <f>IFERROR(VLOOKUP($C165,'Test Library'!$A:$P,5,FALSE),"")</f>
        <v>Email provider rejects one recipient</v>
      </c>
      <c r="G165" s="14" t="str">
        <f>IFERROR(VLOOKUP($C165,'Test Library'!$A:$P,6,FALSE),"")</f>
        <v>High</v>
      </c>
      <c r="H165" s="14" t="inlineStr">
        <is>
          <t xml:space="preserve">Staging</t>
        </is>
      </c>
      <c r="I165" s="14" t="inlineStr">
        <is>
          <t xml:space="preserve">Not Run</t>
        </is>
      </c>
      <c r="J165" s="14"/>
      <c r="K165" s="17"/>
      <c r="L165" s="14"/>
      <c r="M165" s="14"/>
      <c r="N165" s="14"/>
      <c r="O165" s="14" t="inlineStr">
        <is>
          <t xml:space="preserve">Not Required</t>
        </is>
      </c>
      <c r="P165" s="14" t="str">
        <f>IFERROR(VLOOKUP($C165,'Test Library'!$A:$P,14,FALSE),"")</f>
        <v>Yes</v>
      </c>
      <c r="Q165" s="14"/>
    </row>
    <row r="166">
      <c r="A166" s="14" t="inlineStr">
        <is>
          <t xml:space="preserve">BETARUN-0166</t>
        </is>
      </c>
      <c r="B166" s="14" t="inlineStr">
        <is>
          <t xml:space="preserve">Beta Release</t>
        </is>
      </c>
      <c r="C166" s="14" t="inlineStr">
        <is>
          <t xml:space="preserve">RR-0166</t>
        </is>
      </c>
      <c r="D166" s="14" t="str">
        <f>IFERROR(VLOOKUP($C166,'Test Library'!$A:$P,2,FALSE),"")</f>
        <v>Publishing &amp; Notifications</v>
      </c>
      <c r="E166" s="14" t="str">
        <f>IFERROR(VLOOKUP($C166,'Test Library'!$A:$P,3,FALSE),"")</f>
        <v>Notification delivery</v>
      </c>
      <c r="F166" s="14" t="str">
        <f>IFERROR(VLOOKUP($C166,'Test Library'!$A:$P,5,FALSE),"")</f>
        <v>Publish a rota for 500 employees</v>
      </c>
      <c r="G166" s="14" t="str">
        <f>IFERROR(VLOOKUP($C166,'Test Library'!$A:$P,6,FALSE),"")</f>
        <v>High</v>
      </c>
      <c r="H166" s="14" t="inlineStr">
        <is>
          <t xml:space="preserve">Staging</t>
        </is>
      </c>
      <c r="I166" s="14" t="inlineStr">
        <is>
          <t xml:space="preserve">Not Run</t>
        </is>
      </c>
      <c r="J166" s="14"/>
      <c r="K166" s="17"/>
      <c r="L166" s="14"/>
      <c r="M166" s="14"/>
      <c r="N166" s="14"/>
      <c r="O166" s="14" t="inlineStr">
        <is>
          <t xml:space="preserve">Not Required</t>
        </is>
      </c>
      <c r="P166" s="14" t="str">
        <f>IFERROR(VLOOKUP($C166,'Test Library'!$A:$P,14,FALSE),"")</f>
        <v>Yes</v>
      </c>
      <c r="Q166" s="14"/>
    </row>
    <row r="167">
      <c r="A167" s="14" t="inlineStr">
        <is>
          <t xml:space="preserve">BETARUN-0167</t>
        </is>
      </c>
      <c r="B167" s="14" t="inlineStr">
        <is>
          <t xml:space="preserve">Beta Release</t>
        </is>
      </c>
      <c r="C167" s="14" t="inlineStr">
        <is>
          <t xml:space="preserve">RR-0167</t>
        </is>
      </c>
      <c r="D167" s="14" t="str">
        <f>IFERROR(VLOOKUP($C167,'Test Library'!$A:$P,2,FALSE),"")</f>
        <v>Publishing &amp; Notifications</v>
      </c>
      <c r="E167" s="14" t="str">
        <f>IFERROR(VLOOKUP($C167,'Test Library'!$A:$P,3,FALSE),"")</f>
        <v>Notification delivery</v>
      </c>
      <c r="F167" s="14" t="str">
        <f>IFERROR(VLOOKUP($C167,'Test Library'!$A:$P,5,FALSE),"")</f>
        <v>Affected employee receives a change notification</v>
      </c>
      <c r="G167" s="14" t="str">
        <f>IFERROR(VLOOKUP($C167,'Test Library'!$A:$P,6,FALSE),"")</f>
        <v>Critical</v>
      </c>
      <c r="H167" s="14" t="inlineStr">
        <is>
          <t xml:space="preserve">Staging</t>
        </is>
      </c>
      <c r="I167" s="14" t="inlineStr">
        <is>
          <t xml:space="preserve">Not Run</t>
        </is>
      </c>
      <c r="J167" s="14"/>
      <c r="K167" s="17"/>
      <c r="L167" s="14"/>
      <c r="M167" s="14"/>
      <c r="N167" s="14"/>
      <c r="O167" s="14" t="inlineStr">
        <is>
          <t xml:space="preserve">Not Required</t>
        </is>
      </c>
      <c r="P167" s="14" t="str">
        <f>IFERROR(VLOOKUP($C167,'Test Library'!$A:$P,14,FALSE),"")</f>
        <v>Yes</v>
      </c>
      <c r="Q167" s="14"/>
    </row>
    <row r="168">
      <c r="A168" s="14" t="inlineStr">
        <is>
          <t xml:space="preserve">BETARUN-0168</t>
        </is>
      </c>
      <c r="B168" s="14" t="inlineStr">
        <is>
          <t xml:space="preserve">Beta Release</t>
        </is>
      </c>
      <c r="C168" s="14" t="inlineStr">
        <is>
          <t xml:space="preserve">RR-0168</t>
        </is>
      </c>
      <c r="D168" s="14" t="str">
        <f>IFERROR(VLOOKUP($C168,'Test Library'!$A:$P,2,FALSE),"")</f>
        <v>Publishing &amp; Notifications</v>
      </c>
      <c r="E168" s="14" t="str">
        <f>IFERROR(VLOOKUP($C168,'Test Library'!$A:$P,3,FALSE),"")</f>
        <v>Notification delivery</v>
      </c>
      <c r="F168" s="14" t="str">
        <f>IFERROR(VLOOKUP($C168,'Test Library'!$A:$P,5,FALSE),"")</f>
        <v>Unaffected employee after a small edit</v>
      </c>
      <c r="G168" s="14" t="str">
        <f>IFERROR(VLOOKUP($C168,'Test Library'!$A:$P,6,FALSE),"")</f>
        <v>High</v>
      </c>
      <c r="H168" s="14" t="inlineStr">
        <is>
          <t xml:space="preserve">Staging</t>
        </is>
      </c>
      <c r="I168" s="14" t="inlineStr">
        <is>
          <t xml:space="preserve">Not Run</t>
        </is>
      </c>
      <c r="J168" s="14"/>
      <c r="K168" s="17"/>
      <c r="L168" s="14"/>
      <c r="M168" s="14"/>
      <c r="N168" s="14"/>
      <c r="O168" s="14" t="inlineStr">
        <is>
          <t xml:space="preserve">Not Required</t>
        </is>
      </c>
      <c r="P168" s="14" t="str">
        <f>IFERROR(VLOOKUP($C168,'Test Library'!$A:$P,14,FALSE),"")</f>
        <v>Yes</v>
      </c>
      <c r="Q168" s="14"/>
    </row>
    <row r="169">
      <c r="A169" s="14" t="inlineStr">
        <is>
          <t xml:space="preserve">BETARUN-0169</t>
        </is>
      </c>
      <c r="B169" s="14" t="inlineStr">
        <is>
          <t xml:space="preserve">Beta Release</t>
        </is>
      </c>
      <c r="C169" s="14" t="inlineStr">
        <is>
          <t xml:space="preserve">RR-0169</t>
        </is>
      </c>
      <c r="D169" s="14" t="str">
        <f>IFERROR(VLOOKUP($C169,'Test Library'!$A:$P,2,FALSE),"")</f>
        <v>Publishing &amp; Notifications</v>
      </c>
      <c r="E169" s="14" t="str">
        <f>IFERROR(VLOOKUP($C169,'Test Library'!$A:$P,3,FALSE),"")</f>
        <v>Notification delivery</v>
      </c>
      <c r="F169" s="14" t="str">
        <f>IFERROR(VLOOKUP($C169,'Test Library'!$A:$P,5,FALSE),"")</f>
        <v>Open a notification while signed out</v>
      </c>
      <c r="G169" s="14" t="str">
        <f>IFERROR(VLOOKUP($C169,'Test Library'!$A:$P,6,FALSE),"")</f>
        <v>High</v>
      </c>
      <c r="H169" s="14" t="inlineStr">
        <is>
          <t xml:space="preserve">Staging</t>
        </is>
      </c>
      <c r="I169" s="14" t="inlineStr">
        <is>
          <t xml:space="preserve">Not Run</t>
        </is>
      </c>
      <c r="J169" s="14"/>
      <c r="K169" s="17"/>
      <c r="L169" s="14"/>
      <c r="M169" s="14"/>
      <c r="N169" s="14"/>
      <c r="O169" s="14" t="inlineStr">
        <is>
          <t xml:space="preserve">Not Required</t>
        </is>
      </c>
      <c r="P169" s="14" t="str">
        <f>IFERROR(VLOOKUP($C169,'Test Library'!$A:$P,14,FALSE),"")</f>
        <v>Yes</v>
      </c>
      <c r="Q169" s="14"/>
    </row>
    <row r="170">
      <c r="A170" s="14" t="inlineStr">
        <is>
          <t xml:space="preserve">BETARUN-0170</t>
        </is>
      </c>
      <c r="B170" s="14" t="inlineStr">
        <is>
          <t xml:space="preserve">Beta Release</t>
        </is>
      </c>
      <c r="C170" s="14" t="inlineStr">
        <is>
          <t xml:space="preserve">RR-0170</t>
        </is>
      </c>
      <c r="D170" s="14" t="str">
        <f>IFERROR(VLOOKUP($C170,'Test Library'!$A:$P,2,FALSE),"")</f>
        <v>Templates, Notes &amp; Export</v>
      </c>
      <c r="E170" s="14" t="str">
        <f>IFERROR(VLOOKUP($C170,'Test Library'!$A:$P,3,FALSE),"")</f>
        <v>Rota templates</v>
      </c>
      <c r="F170" s="14" t="str">
        <f>IFERROR(VLOOKUP($C170,'Test Library'!$A:$P,5,FALSE),"")</f>
        <v>Save the current draft as a template</v>
      </c>
      <c r="G170" s="14" t="str">
        <f>IFERROR(VLOOKUP($C170,'Test Library'!$A:$P,6,FALSE),"")</f>
        <v>High</v>
      </c>
      <c r="H170" s="14" t="inlineStr">
        <is>
          <t xml:space="preserve">Staging</t>
        </is>
      </c>
      <c r="I170" s="14" t="inlineStr">
        <is>
          <t xml:space="preserve">Not Run</t>
        </is>
      </c>
      <c r="J170" s="14"/>
      <c r="K170" s="17"/>
      <c r="L170" s="14"/>
      <c r="M170" s="14"/>
      <c r="N170" s="14"/>
      <c r="O170" s="14" t="inlineStr">
        <is>
          <t xml:space="preserve">Not Required</t>
        </is>
      </c>
      <c r="P170" s="14" t="str">
        <f>IFERROR(VLOOKUP($C170,'Test Library'!$A:$P,14,FALSE),"")</f>
        <v>Yes</v>
      </c>
      <c r="Q170" s="14"/>
    </row>
    <row r="171">
      <c r="A171" s="14" t="inlineStr">
        <is>
          <t xml:space="preserve">BETARUN-0171</t>
        </is>
      </c>
      <c r="B171" s="14" t="inlineStr">
        <is>
          <t xml:space="preserve">Beta Release</t>
        </is>
      </c>
      <c r="C171" s="14" t="inlineStr">
        <is>
          <t xml:space="preserve">RR-0171</t>
        </is>
      </c>
      <c r="D171" s="14" t="str">
        <f>IFERROR(VLOOKUP($C171,'Test Library'!$A:$P,2,FALSE),"")</f>
        <v>Templates, Notes &amp; Export</v>
      </c>
      <c r="E171" s="14" t="str">
        <f>IFERROR(VLOOKUP($C171,'Test Library'!$A:$P,3,FALSE),"")</f>
        <v>Rota templates</v>
      </c>
      <c r="F171" s="14" t="str">
        <f>IFERROR(VLOOKUP($C171,'Test Library'!$A:$P,5,FALSE),"")</f>
        <v>Apply a template to an empty week</v>
      </c>
      <c r="G171" s="14" t="str">
        <f>IFERROR(VLOOKUP($C171,'Test Library'!$A:$P,6,FALSE),"")</f>
        <v>Critical</v>
      </c>
      <c r="H171" s="14" t="inlineStr">
        <is>
          <t xml:space="preserve">Staging</t>
        </is>
      </c>
      <c r="I171" s="14" t="inlineStr">
        <is>
          <t xml:space="preserve">Not Run</t>
        </is>
      </c>
      <c r="J171" s="14"/>
      <c r="K171" s="17"/>
      <c r="L171" s="14"/>
      <c r="M171" s="14"/>
      <c r="N171" s="14"/>
      <c r="O171" s="14" t="inlineStr">
        <is>
          <t xml:space="preserve">Not Required</t>
        </is>
      </c>
      <c r="P171" s="14" t="str">
        <f>IFERROR(VLOOKUP($C171,'Test Library'!$A:$P,14,FALSE),"")</f>
        <v>Yes</v>
      </c>
      <c r="Q171" s="14"/>
    </row>
    <row r="172">
      <c r="A172" s="14" t="inlineStr">
        <is>
          <t xml:space="preserve">BETARUN-0172</t>
        </is>
      </c>
      <c r="B172" s="14" t="inlineStr">
        <is>
          <t xml:space="preserve">Beta Release</t>
        </is>
      </c>
      <c r="C172" s="14" t="inlineStr">
        <is>
          <t xml:space="preserve">RR-0172</t>
        </is>
      </c>
      <c r="D172" s="14" t="str">
        <f>IFERROR(VLOOKUP($C172,'Test Library'!$A:$P,2,FALSE),"")</f>
        <v>Templates, Notes &amp; Export</v>
      </c>
      <c r="E172" s="14" t="str">
        <f>IFERROR(VLOOKUP($C172,'Test Library'!$A:$P,3,FALSE),"")</f>
        <v>Rota templates</v>
      </c>
      <c r="F172" s="14" t="str">
        <f>IFERROR(VLOOKUP($C172,'Test Library'!$A:$P,5,FALSE),"")</f>
        <v>Apply a template to a populated week</v>
      </c>
      <c r="G172" s="14" t="str">
        <f>IFERROR(VLOOKUP($C172,'Test Library'!$A:$P,6,FALSE),"")</f>
        <v>Critical</v>
      </c>
      <c r="H172" s="14" t="inlineStr">
        <is>
          <t xml:space="preserve">Staging</t>
        </is>
      </c>
      <c r="I172" s="14" t="inlineStr">
        <is>
          <t xml:space="preserve">Not Run</t>
        </is>
      </c>
      <c r="J172" s="14"/>
      <c r="K172" s="17"/>
      <c r="L172" s="14"/>
      <c r="M172" s="14"/>
      <c r="N172" s="14"/>
      <c r="O172" s="14" t="inlineStr">
        <is>
          <t xml:space="preserve">Not Required</t>
        </is>
      </c>
      <c r="P172" s="14" t="str">
        <f>IFERROR(VLOOKUP($C172,'Test Library'!$A:$P,14,FALSE),"")</f>
        <v>Yes</v>
      </c>
      <c r="Q172" s="14"/>
    </row>
    <row r="173">
      <c r="A173" s="14" t="inlineStr">
        <is>
          <t xml:space="preserve">BETARUN-0173</t>
        </is>
      </c>
      <c r="B173" s="14" t="inlineStr">
        <is>
          <t xml:space="preserve">Beta Release</t>
        </is>
      </c>
      <c r="C173" s="14" t="inlineStr">
        <is>
          <t xml:space="preserve">RR-0173</t>
        </is>
      </c>
      <c r="D173" s="14" t="str">
        <f>IFERROR(VLOOKUP($C173,'Test Library'!$A:$P,2,FALSE),"")</f>
        <v>Templates, Notes &amp; Export</v>
      </c>
      <c r="E173" s="14" t="str">
        <f>IFERROR(VLOOKUP($C173,'Test Library'!$A:$P,3,FALSE),"")</f>
        <v>Rota templates</v>
      </c>
      <c r="F173" s="14" t="str">
        <f>IFERROR(VLOOKUP($C173,'Test Library'!$A:$P,5,FALSE),"")</f>
        <v>Edit a template name and contents</v>
      </c>
      <c r="G173" s="14" t="str">
        <f>IFERROR(VLOOKUP($C173,'Test Library'!$A:$P,6,FALSE),"")</f>
        <v>Medium</v>
      </c>
      <c r="H173" s="14" t="inlineStr">
        <is>
          <t xml:space="preserve">Staging</t>
        </is>
      </c>
      <c r="I173" s="14" t="inlineStr">
        <is>
          <t xml:space="preserve">Not Run</t>
        </is>
      </c>
      <c r="J173" s="14"/>
      <c r="K173" s="17"/>
      <c r="L173" s="14"/>
      <c r="M173" s="14"/>
      <c r="N173" s="14"/>
      <c r="O173" s="14" t="inlineStr">
        <is>
          <t xml:space="preserve">Not Required</t>
        </is>
      </c>
      <c r="P173" s="14" t="str">
        <f>IFERROR(VLOOKUP($C173,'Test Library'!$A:$P,14,FALSE),"")</f>
        <v>No</v>
      </c>
      <c r="Q173" s="14"/>
    </row>
    <row r="174">
      <c r="A174" s="14" t="inlineStr">
        <is>
          <t xml:space="preserve">BETARUN-0174</t>
        </is>
      </c>
      <c r="B174" s="14" t="inlineStr">
        <is>
          <t xml:space="preserve">Beta Release</t>
        </is>
      </c>
      <c r="C174" s="14" t="inlineStr">
        <is>
          <t xml:space="preserve">RR-0174</t>
        </is>
      </c>
      <c r="D174" s="14" t="str">
        <f>IFERROR(VLOOKUP($C174,'Test Library'!$A:$P,2,FALSE),"")</f>
        <v>Templates, Notes &amp; Export</v>
      </c>
      <c r="E174" s="14" t="str">
        <f>IFERROR(VLOOKUP($C174,'Test Library'!$A:$P,3,FALSE),"")</f>
        <v>Rota templates</v>
      </c>
      <c r="F174" s="14" t="str">
        <f>IFERROR(VLOOKUP($C174,'Test Library'!$A:$P,5,FALSE),"")</f>
        <v>Delete a template</v>
      </c>
      <c r="G174" s="14" t="str">
        <f>IFERROR(VLOOKUP($C174,'Test Library'!$A:$P,6,FALSE),"")</f>
        <v>Medium</v>
      </c>
      <c r="H174" s="14" t="inlineStr">
        <is>
          <t xml:space="preserve">Staging</t>
        </is>
      </c>
      <c r="I174" s="14" t="inlineStr">
        <is>
          <t xml:space="preserve">Not Run</t>
        </is>
      </c>
      <c r="J174" s="14"/>
      <c r="K174" s="17"/>
      <c r="L174" s="14"/>
      <c r="M174" s="14"/>
      <c r="N174" s="14"/>
      <c r="O174" s="14" t="inlineStr">
        <is>
          <t xml:space="preserve">Not Required</t>
        </is>
      </c>
      <c r="P174" s="14" t="str">
        <f>IFERROR(VLOOKUP($C174,'Test Library'!$A:$P,14,FALSE),"")</f>
        <v>No</v>
      </c>
      <c r="Q174" s="14"/>
    </row>
    <row r="175">
      <c r="A175" s="14" t="inlineStr">
        <is>
          <t xml:space="preserve">BETARUN-0175</t>
        </is>
      </c>
      <c r="B175" s="14" t="inlineStr">
        <is>
          <t xml:space="preserve">Beta Release</t>
        </is>
      </c>
      <c r="C175" s="14" t="inlineStr">
        <is>
          <t xml:space="preserve">RR-0175</t>
        </is>
      </c>
      <c r="D175" s="14" t="str">
        <f>IFERROR(VLOOKUP($C175,'Test Library'!$A:$P,2,FALSE),"")</f>
        <v>Templates, Notes &amp; Export</v>
      </c>
      <c r="E175" s="14" t="str">
        <f>IFERROR(VLOOKUP($C175,'Test Library'!$A:$P,3,FALSE),"")</f>
        <v>Rota templates</v>
      </c>
      <c r="F175" s="14" t="str">
        <f>IFERROR(VLOOKUP($C175,'Test Library'!$A:$P,5,FALSE),"")</f>
        <v>Location manager opens another location's template</v>
      </c>
      <c r="G175" s="14" t="str">
        <f>IFERROR(VLOOKUP($C175,'Test Library'!$A:$P,6,FALSE),"")</f>
        <v>Critical</v>
      </c>
      <c r="H175" s="14" t="inlineStr">
        <is>
          <t xml:space="preserve">Staging</t>
        </is>
      </c>
      <c r="I175" s="14" t="inlineStr">
        <is>
          <t xml:space="preserve">Not Run</t>
        </is>
      </c>
      <c r="J175" s="14"/>
      <c r="K175" s="17"/>
      <c r="L175" s="14"/>
      <c r="M175" s="14"/>
      <c r="N175" s="14"/>
      <c r="O175" s="14" t="inlineStr">
        <is>
          <t xml:space="preserve">Not Required</t>
        </is>
      </c>
      <c r="P175" s="14" t="str">
        <f>IFERROR(VLOOKUP($C175,'Test Library'!$A:$P,14,FALSE),"")</f>
        <v>Yes</v>
      </c>
      <c r="Q175" s="14"/>
    </row>
    <row r="176">
      <c r="A176" s="14" t="inlineStr">
        <is>
          <t xml:space="preserve">BETARUN-0176</t>
        </is>
      </c>
      <c r="B176" s="14" t="inlineStr">
        <is>
          <t xml:space="preserve">Beta Release</t>
        </is>
      </c>
      <c r="C176" s="14" t="inlineStr">
        <is>
          <t xml:space="preserve">RR-0176</t>
        </is>
      </c>
      <c r="D176" s="14" t="str">
        <f>IFERROR(VLOOKUP($C176,'Test Library'!$A:$P,2,FALSE),"")</f>
        <v>Templates, Notes &amp; Export</v>
      </c>
      <c r="E176" s="14" t="str">
        <f>IFERROR(VLOOKUP($C176,'Test Library'!$A:$P,3,FALSE),"")</f>
        <v>Notes and exports</v>
      </c>
      <c r="F176" s="14" t="str">
        <f>IFERROR(VLOOKUP($C176,'Test Library'!$A:$P,5,FALSE),"")</f>
        <v>Add an employee-visible shift note</v>
      </c>
      <c r="G176" s="14" t="str">
        <f>IFERROR(VLOOKUP($C176,'Test Library'!$A:$P,6,FALSE),"")</f>
        <v>High</v>
      </c>
      <c r="H176" s="14" t="inlineStr">
        <is>
          <t xml:space="preserve">Staging</t>
        </is>
      </c>
      <c r="I176" s="14" t="inlineStr">
        <is>
          <t xml:space="preserve">Not Run</t>
        </is>
      </c>
      <c r="J176" s="14"/>
      <c r="K176" s="17"/>
      <c r="L176" s="14"/>
      <c r="M176" s="14"/>
      <c r="N176" s="14"/>
      <c r="O176" s="14" t="inlineStr">
        <is>
          <t xml:space="preserve">Not Required</t>
        </is>
      </c>
      <c r="P176" s="14" t="str">
        <f>IFERROR(VLOOKUP($C176,'Test Library'!$A:$P,14,FALSE),"")</f>
        <v>Yes</v>
      </c>
      <c r="Q176" s="14"/>
    </row>
    <row r="177">
      <c r="A177" s="14" t="inlineStr">
        <is>
          <t xml:space="preserve">BETARUN-0177</t>
        </is>
      </c>
      <c r="B177" s="14" t="inlineStr">
        <is>
          <t xml:space="preserve">Beta Release</t>
        </is>
      </c>
      <c r="C177" s="14" t="inlineStr">
        <is>
          <t xml:space="preserve">RR-0177</t>
        </is>
      </c>
      <c r="D177" s="14" t="str">
        <f>IFERROR(VLOOKUP($C177,'Test Library'!$A:$P,2,FALSE),"")</f>
        <v>Templates, Notes &amp; Export</v>
      </c>
      <c r="E177" s="14" t="str">
        <f>IFERROR(VLOOKUP($C177,'Test Library'!$A:$P,3,FALSE),"")</f>
        <v>Notes and exports</v>
      </c>
      <c r="F177" s="14" t="str">
        <f>IFERROR(VLOOKUP($C177,'Test Library'!$A:$P,5,FALSE),"")</f>
        <v>Add a private manager note</v>
      </c>
      <c r="G177" s="14" t="str">
        <f>IFERROR(VLOOKUP($C177,'Test Library'!$A:$P,6,FALSE),"")</f>
        <v>Critical</v>
      </c>
      <c r="H177" s="14" t="inlineStr">
        <is>
          <t xml:space="preserve">Staging</t>
        </is>
      </c>
      <c r="I177" s="14" t="inlineStr">
        <is>
          <t xml:space="preserve">Not Run</t>
        </is>
      </c>
      <c r="J177" s="14"/>
      <c r="K177" s="17"/>
      <c r="L177" s="14"/>
      <c r="M177" s="14"/>
      <c r="N177" s="14"/>
      <c r="O177" s="14" t="inlineStr">
        <is>
          <t xml:space="preserve">Not Required</t>
        </is>
      </c>
      <c r="P177" s="14" t="str">
        <f>IFERROR(VLOOKUP($C177,'Test Library'!$A:$P,14,FALSE),"")</f>
        <v>Yes</v>
      </c>
      <c r="Q177" s="14"/>
    </row>
    <row r="178">
      <c r="A178" s="14" t="inlineStr">
        <is>
          <t xml:space="preserve">BETARUN-0178</t>
        </is>
      </c>
      <c r="B178" s="14" t="inlineStr">
        <is>
          <t xml:space="preserve">Beta Release</t>
        </is>
      </c>
      <c r="C178" s="14" t="inlineStr">
        <is>
          <t xml:space="preserve">RR-0178</t>
        </is>
      </c>
      <c r="D178" s="14" t="str">
        <f>IFERROR(VLOOKUP($C178,'Test Library'!$A:$P,2,FALSE),"")</f>
        <v>Templates, Notes &amp; Export</v>
      </c>
      <c r="E178" s="14" t="str">
        <f>IFERROR(VLOOKUP($C178,'Test Library'!$A:$P,3,FALSE),"")</f>
        <v>Notes and exports</v>
      </c>
      <c r="F178" s="14" t="str">
        <f>IFERROR(VLOOKUP($C178,'Test Library'!$A:$P,5,FALSE),"")</f>
        <v>Add a week-level rota note</v>
      </c>
      <c r="G178" s="14" t="str">
        <f>IFERROR(VLOOKUP($C178,'Test Library'!$A:$P,6,FALSE),"")</f>
        <v>Medium</v>
      </c>
      <c r="H178" s="14" t="inlineStr">
        <is>
          <t xml:space="preserve">Staging</t>
        </is>
      </c>
      <c r="I178" s="14" t="inlineStr">
        <is>
          <t xml:space="preserve">Not Run</t>
        </is>
      </c>
      <c r="J178" s="14"/>
      <c r="K178" s="17"/>
      <c r="L178" s="14"/>
      <c r="M178" s="14"/>
      <c r="N178" s="14"/>
      <c r="O178" s="14" t="inlineStr">
        <is>
          <t xml:space="preserve">Not Required</t>
        </is>
      </c>
      <c r="P178" s="14" t="str">
        <f>IFERROR(VLOOKUP($C178,'Test Library'!$A:$P,14,FALSE),"")</f>
        <v>No</v>
      </c>
      <c r="Q178" s="14"/>
    </row>
    <row r="179">
      <c r="A179" s="14" t="inlineStr">
        <is>
          <t xml:space="preserve">BETARUN-0179</t>
        </is>
      </c>
      <c r="B179" s="14" t="inlineStr">
        <is>
          <t xml:space="preserve">Beta Release</t>
        </is>
      </c>
      <c r="C179" s="14" t="inlineStr">
        <is>
          <t xml:space="preserve">RR-0179</t>
        </is>
      </c>
      <c r="D179" s="14" t="str">
        <f>IFERROR(VLOOKUP($C179,'Test Library'!$A:$P,2,FALSE),"")</f>
        <v>Templates, Notes &amp; Export</v>
      </c>
      <c r="E179" s="14" t="str">
        <f>IFERROR(VLOOKUP($C179,'Test Library'!$A:$P,3,FALSE),"")</f>
        <v>Notes and exports</v>
      </c>
      <c r="F179" s="14" t="str">
        <f>IFERROR(VLOOKUP($C179,'Test Library'!$A:$P,5,FALSE),"")</f>
        <v>Export a rota to PDF</v>
      </c>
      <c r="G179" s="14" t="str">
        <f>IFERROR(VLOOKUP($C179,'Test Library'!$A:$P,6,FALSE),"")</f>
        <v>Critical</v>
      </c>
      <c r="H179" s="14" t="inlineStr">
        <is>
          <t xml:space="preserve">Staging</t>
        </is>
      </c>
      <c r="I179" s="14" t="inlineStr">
        <is>
          <t xml:space="preserve">Not Run</t>
        </is>
      </c>
      <c r="J179" s="14"/>
      <c r="K179" s="17"/>
      <c r="L179" s="14"/>
      <c r="M179" s="14"/>
      <c r="N179" s="14"/>
      <c r="O179" s="14" t="inlineStr">
        <is>
          <t xml:space="preserve">Not Required</t>
        </is>
      </c>
      <c r="P179" s="14" t="str">
        <f>IFERROR(VLOOKUP($C179,'Test Library'!$A:$P,14,FALSE),"")</f>
        <v>Yes</v>
      </c>
      <c r="Q179" s="14"/>
    </row>
    <row r="180">
      <c r="A180" s="14" t="inlineStr">
        <is>
          <t xml:space="preserve">BETARUN-0180</t>
        </is>
      </c>
      <c r="B180" s="14" t="inlineStr">
        <is>
          <t xml:space="preserve">Beta Release</t>
        </is>
      </c>
      <c r="C180" s="14" t="inlineStr">
        <is>
          <t xml:space="preserve">RR-0180</t>
        </is>
      </c>
      <c r="D180" s="14" t="str">
        <f>IFERROR(VLOOKUP($C180,'Test Library'!$A:$P,2,FALSE),"")</f>
        <v>Templates, Notes &amp; Export</v>
      </c>
      <c r="E180" s="14" t="str">
        <f>IFERROR(VLOOKUP($C180,'Test Library'!$A:$P,3,FALSE),"")</f>
        <v>Notes and exports</v>
      </c>
      <c r="F180" s="14" t="str">
        <f>IFERROR(VLOOKUP($C180,'Test Library'!$A:$P,5,FALSE),"")</f>
        <v>Export only selected zones</v>
      </c>
      <c r="G180" s="14" t="str">
        <f>IFERROR(VLOOKUP($C180,'Test Library'!$A:$P,6,FALSE),"")</f>
        <v>High</v>
      </c>
      <c r="H180" s="14" t="inlineStr">
        <is>
          <t xml:space="preserve">Staging</t>
        </is>
      </c>
      <c r="I180" s="14" t="inlineStr">
        <is>
          <t xml:space="preserve">Not Run</t>
        </is>
      </c>
      <c r="J180" s="14"/>
      <c r="K180" s="17"/>
      <c r="L180" s="14"/>
      <c r="M180" s="14"/>
      <c r="N180" s="14"/>
      <c r="O180" s="14" t="inlineStr">
        <is>
          <t xml:space="preserve">Not Required</t>
        </is>
      </c>
      <c r="P180" s="14" t="str">
        <f>IFERROR(VLOOKUP($C180,'Test Library'!$A:$P,14,FALSE),"")</f>
        <v>Yes</v>
      </c>
      <c r="Q180" s="14"/>
    </row>
    <row r="181">
      <c r="A181" s="14" t="inlineStr">
        <is>
          <t xml:space="preserve">BETARUN-0181</t>
        </is>
      </c>
      <c r="B181" s="14" t="inlineStr">
        <is>
          <t xml:space="preserve">Beta Release</t>
        </is>
      </c>
      <c r="C181" s="14" t="inlineStr">
        <is>
          <t xml:space="preserve">RR-0181</t>
        </is>
      </c>
      <c r="D181" s="14" t="str">
        <f>IFERROR(VLOOKUP($C181,'Test Library'!$A:$P,2,FALSE),"")</f>
        <v>Templates, Notes &amp; Export</v>
      </c>
      <c r="E181" s="14" t="str">
        <f>IFERROR(VLOOKUP($C181,'Test Library'!$A:$P,3,FALSE),"")</f>
        <v>Notes and exports</v>
      </c>
      <c r="F181" s="14" t="str">
        <f>IFERROR(VLOOKUP($C181,'Test Library'!$A:$P,5,FALSE),"")</f>
        <v>Export overnight and split shifts</v>
      </c>
      <c r="G181" s="14" t="str">
        <f>IFERROR(VLOOKUP($C181,'Test Library'!$A:$P,6,FALSE),"")</f>
        <v>High</v>
      </c>
      <c r="H181" s="14" t="inlineStr">
        <is>
          <t xml:space="preserve">Staging</t>
        </is>
      </c>
      <c r="I181" s="14" t="inlineStr">
        <is>
          <t xml:space="preserve">Not Run</t>
        </is>
      </c>
      <c r="J181" s="14"/>
      <c r="K181" s="17"/>
      <c r="L181" s="14"/>
      <c r="M181" s="14"/>
      <c r="N181" s="14"/>
      <c r="O181" s="14" t="inlineStr">
        <is>
          <t xml:space="preserve">Not Required</t>
        </is>
      </c>
      <c r="P181" s="14" t="str">
        <f>IFERROR(VLOOKUP($C181,'Test Library'!$A:$P,14,FALSE),"")</f>
        <v>Yes</v>
      </c>
      <c r="Q181" s="14"/>
    </row>
    <row r="182">
      <c r="A182" s="14" t="inlineStr">
        <is>
          <t xml:space="preserve">BETARUN-0182</t>
        </is>
      </c>
      <c r="B182" s="14" t="inlineStr">
        <is>
          <t xml:space="preserve">Beta Release</t>
        </is>
      </c>
      <c r="C182" s="14" t="inlineStr">
        <is>
          <t xml:space="preserve">RR-0182</t>
        </is>
      </c>
      <c r="D182" s="14" t="str">
        <f>IFERROR(VLOOKUP($C182,'Test Library'!$A:$P,2,FALSE),"")</f>
        <v>Templates, Notes &amp; Export</v>
      </c>
      <c r="E182" s="14" t="str">
        <f>IFERROR(VLOOKUP($C182,'Test Library'!$A:$P,3,FALSE),"")</f>
        <v>Notes and exports</v>
      </c>
      <c r="F182" s="14" t="str">
        <f>IFERROR(VLOOKUP($C182,'Test Library'!$A:$P,5,FALSE),"")</f>
        <v>Export a large rota across multiple pages</v>
      </c>
      <c r="G182" s="14" t="str">
        <f>IFERROR(VLOOKUP($C182,'Test Library'!$A:$P,6,FALSE),"")</f>
        <v>High</v>
      </c>
      <c r="H182" s="14" t="inlineStr">
        <is>
          <t xml:space="preserve">Staging</t>
        </is>
      </c>
      <c r="I182" s="14" t="inlineStr">
        <is>
          <t xml:space="preserve">Not Run</t>
        </is>
      </c>
      <c r="J182" s="14"/>
      <c r="K182" s="17"/>
      <c r="L182" s="14"/>
      <c r="M182" s="14"/>
      <c r="N182" s="14"/>
      <c r="O182" s="14" t="inlineStr">
        <is>
          <t xml:space="preserve">Not Required</t>
        </is>
      </c>
      <c r="P182" s="14" t="str">
        <f>IFERROR(VLOOKUP($C182,'Test Library'!$A:$P,14,FALSE),"")</f>
        <v>Yes</v>
      </c>
      <c r="Q182" s="14"/>
    </row>
    <row r="183">
      <c r="A183" s="14" t="inlineStr">
        <is>
          <t xml:space="preserve">BETARUN-0183</t>
        </is>
      </c>
      <c r="B183" s="14" t="inlineStr">
        <is>
          <t xml:space="preserve">Beta Release</t>
        </is>
      </c>
      <c r="C183" s="14" t="inlineStr">
        <is>
          <t xml:space="preserve">RR-0183</t>
        </is>
      </c>
      <c r="D183" s="14" t="str">
        <f>IFERROR(VLOOKUP($C183,'Test Library'!$A:$P,2,FALSE),"")</f>
        <v>Templates, Notes &amp; Export</v>
      </c>
      <c r="E183" s="14" t="str">
        <f>IFERROR(VLOOKUP($C183,'Test Library'!$A:$P,3,FALSE),"")</f>
        <v>Notes and exports</v>
      </c>
      <c r="F183" s="14" t="str">
        <f>IFERROR(VLOOKUP($C183,'Test Library'!$A:$P,5,FALSE),"")</f>
        <v>Export names containing accents/apostrophes</v>
      </c>
      <c r="G183" s="14" t="str">
        <f>IFERROR(VLOOKUP($C183,'Test Library'!$A:$P,6,FALSE),"")</f>
        <v>Medium</v>
      </c>
      <c r="H183" s="14" t="inlineStr">
        <is>
          <t xml:space="preserve">Staging</t>
        </is>
      </c>
      <c r="I183" s="14" t="inlineStr">
        <is>
          <t xml:space="preserve">Not Run</t>
        </is>
      </c>
      <c r="J183" s="14"/>
      <c r="K183" s="17"/>
      <c r="L183" s="14"/>
      <c r="M183" s="14"/>
      <c r="N183" s="14"/>
      <c r="O183" s="14" t="inlineStr">
        <is>
          <t xml:space="preserve">Not Required</t>
        </is>
      </c>
      <c r="P183" s="14" t="str">
        <f>IFERROR(VLOOKUP($C183,'Test Library'!$A:$P,14,FALSE),"")</f>
        <v>No</v>
      </c>
      <c r="Q183" s="14"/>
    </row>
    <row r="184">
      <c r="A184" s="14" t="inlineStr">
        <is>
          <t xml:space="preserve">BETARUN-0184</t>
        </is>
      </c>
      <c r="B184" s="14" t="inlineStr">
        <is>
          <t xml:space="preserve">Beta Release</t>
        </is>
      </c>
      <c r="C184" s="14" t="inlineStr">
        <is>
          <t xml:space="preserve">RR-0184</t>
        </is>
      </c>
      <c r="D184" s="14" t="str">
        <f>IFERROR(VLOOKUP($C184,'Test Library'!$A:$P,2,FALSE),"")</f>
        <v>Templates, Notes &amp; Export</v>
      </c>
      <c r="E184" s="14" t="str">
        <f>IFERROR(VLOOKUP($C184,'Test Library'!$A:$P,3,FALSE),"")</f>
        <v>Notes and exports</v>
      </c>
      <c r="F184" s="14" t="str">
        <f>IFERROR(VLOOKUP($C184,'Test Library'!$A:$P,5,FALSE),"")</f>
        <v>Print the exported rota in monochrome</v>
      </c>
      <c r="G184" s="14" t="str">
        <f>IFERROR(VLOOKUP($C184,'Test Library'!$A:$P,6,FALSE),"")</f>
        <v>Medium</v>
      </c>
      <c r="H184" s="14" t="inlineStr">
        <is>
          <t xml:space="preserve">Staging</t>
        </is>
      </c>
      <c r="I184" s="14" t="inlineStr">
        <is>
          <t xml:space="preserve">Not Run</t>
        </is>
      </c>
      <c r="J184" s="14"/>
      <c r="K184" s="17"/>
      <c r="L184" s="14"/>
      <c r="M184" s="14"/>
      <c r="N184" s="14"/>
      <c r="O184" s="14" t="inlineStr">
        <is>
          <t xml:space="preserve">Not Required</t>
        </is>
      </c>
      <c r="P184" s="14" t="str">
        <f>IFERROR(VLOOKUP($C184,'Test Library'!$A:$P,14,FALSE),"")</f>
        <v>No</v>
      </c>
      <c r="Q184" s="14"/>
    </row>
    <row r="185">
      <c r="A185" s="14" t="inlineStr">
        <is>
          <t xml:space="preserve">BETARUN-0185</t>
        </is>
      </c>
      <c r="B185" s="14" t="inlineStr">
        <is>
          <t xml:space="preserve">Beta Release</t>
        </is>
      </c>
      <c r="C185" s="14" t="inlineStr">
        <is>
          <t xml:space="preserve">RR-0185</t>
        </is>
      </c>
      <c r="D185" s="14" t="str">
        <f>IFERROR(VLOOKUP($C185,'Test Library'!$A:$P,2,FALSE),"")</f>
        <v>Employee Dashboard</v>
      </c>
      <c r="E185" s="14" t="str">
        <f>IFERROR(VLOOKUP($C185,'Test Library'!$A:$P,3,FALSE),"")</f>
        <v>Self-service dashboard</v>
      </c>
      <c r="F185" s="14" t="str">
        <f>IFERROR(VLOOKUP($C185,'Test Library'!$A:$P,5,FALSE),"")</f>
        <v>Display the next upcoming shift</v>
      </c>
      <c r="G185" s="14" t="str">
        <f>IFERROR(VLOOKUP($C185,'Test Library'!$A:$P,6,FALSE),"")</f>
        <v>Critical</v>
      </c>
      <c r="H185" s="14" t="inlineStr">
        <is>
          <t xml:space="preserve">Staging</t>
        </is>
      </c>
      <c r="I185" s="14" t="inlineStr">
        <is>
          <t xml:space="preserve">Not Run</t>
        </is>
      </c>
      <c r="J185" s="14"/>
      <c r="K185" s="17"/>
      <c r="L185" s="14"/>
      <c r="M185" s="14"/>
      <c r="N185" s="14"/>
      <c r="O185" s="14" t="inlineStr">
        <is>
          <t xml:space="preserve">Not Required</t>
        </is>
      </c>
      <c r="P185" s="14" t="str">
        <f>IFERROR(VLOOKUP($C185,'Test Library'!$A:$P,14,FALSE),"")</f>
        <v>Yes</v>
      </c>
      <c r="Q185" s="14"/>
    </row>
    <row r="186">
      <c r="A186" s="14" t="inlineStr">
        <is>
          <t xml:space="preserve">BETARUN-0186</t>
        </is>
      </c>
      <c r="B186" s="14" t="inlineStr">
        <is>
          <t xml:space="preserve">Beta Release</t>
        </is>
      </c>
      <c r="C186" s="14" t="inlineStr">
        <is>
          <t xml:space="preserve">RR-0186</t>
        </is>
      </c>
      <c r="D186" s="14" t="str">
        <f>IFERROR(VLOOKUP($C186,'Test Library'!$A:$P,2,FALSE),"")</f>
        <v>Employee Dashboard</v>
      </c>
      <c r="E186" s="14" t="str">
        <f>IFERROR(VLOOKUP($C186,'Test Library'!$A:$P,3,FALSE),"")</f>
        <v>Self-service dashboard</v>
      </c>
      <c r="F186" s="14" t="str">
        <f>IFERROR(VLOOKUP($C186,'Test Library'!$A:$P,5,FALSE),"")</f>
        <v>Employee currently clocked in</v>
      </c>
      <c r="G186" s="14" t="str">
        <f>IFERROR(VLOOKUP($C186,'Test Library'!$A:$P,6,FALSE),"")</f>
        <v>Critical</v>
      </c>
      <c r="H186" s="14" t="inlineStr">
        <is>
          <t xml:space="preserve">Staging</t>
        </is>
      </c>
      <c r="I186" s="14" t="inlineStr">
        <is>
          <t xml:space="preserve">Not Run</t>
        </is>
      </c>
      <c r="J186" s="14"/>
      <c r="K186" s="17"/>
      <c r="L186" s="14"/>
      <c r="M186" s="14"/>
      <c r="N186" s="14"/>
      <c r="O186" s="14" t="inlineStr">
        <is>
          <t xml:space="preserve">Not Required</t>
        </is>
      </c>
      <c r="P186" s="14" t="str">
        <f>IFERROR(VLOOKUP($C186,'Test Library'!$A:$P,14,FALSE),"")</f>
        <v>Yes</v>
      </c>
      <c r="Q186" s="14"/>
    </row>
    <row r="187">
      <c r="A187" s="14" t="inlineStr">
        <is>
          <t xml:space="preserve">BETARUN-0187</t>
        </is>
      </c>
      <c r="B187" s="14" t="inlineStr">
        <is>
          <t xml:space="preserve">Beta Release</t>
        </is>
      </c>
      <c r="C187" s="14" t="inlineStr">
        <is>
          <t xml:space="preserve">RR-0187</t>
        </is>
      </c>
      <c r="D187" s="14" t="str">
        <f>IFERROR(VLOOKUP($C187,'Test Library'!$A:$P,2,FALSE),"")</f>
        <v>Employee Dashboard</v>
      </c>
      <c r="E187" s="14" t="str">
        <f>IFERROR(VLOOKUP($C187,'Test Library'!$A:$P,3,FALSE),"")</f>
        <v>Self-service dashboard</v>
      </c>
      <c r="F187" s="14" t="str">
        <f>IFERROR(VLOOKUP($C187,'Test Library'!$A:$P,5,FALSE),"")</f>
        <v>Employee has no upcoming shifts</v>
      </c>
      <c r="G187" s="14" t="str">
        <f>IFERROR(VLOOKUP($C187,'Test Library'!$A:$P,6,FALSE),"")</f>
        <v>Medium</v>
      </c>
      <c r="H187" s="14" t="inlineStr">
        <is>
          <t xml:space="preserve">Staging</t>
        </is>
      </c>
      <c r="I187" s="14" t="inlineStr">
        <is>
          <t xml:space="preserve">Not Run</t>
        </is>
      </c>
      <c r="J187" s="14"/>
      <c r="K187" s="17"/>
      <c r="L187" s="14"/>
      <c r="M187" s="14"/>
      <c r="N187" s="14"/>
      <c r="O187" s="14" t="inlineStr">
        <is>
          <t xml:space="preserve">Not Required</t>
        </is>
      </c>
      <c r="P187" s="14" t="str">
        <f>IFERROR(VLOOKUP($C187,'Test Library'!$A:$P,14,FALSE),"")</f>
        <v>No</v>
      </c>
      <c r="Q187" s="14"/>
    </row>
    <row r="188">
      <c r="A188" s="14" t="inlineStr">
        <is>
          <t xml:space="preserve">BETARUN-0188</t>
        </is>
      </c>
      <c r="B188" s="14" t="inlineStr">
        <is>
          <t xml:space="preserve">Beta Release</t>
        </is>
      </c>
      <c r="C188" s="14" t="inlineStr">
        <is>
          <t xml:space="preserve">RR-0188</t>
        </is>
      </c>
      <c r="D188" s="14" t="str">
        <f>IFERROR(VLOOKUP($C188,'Test Library'!$A:$P,2,FALSE),"")</f>
        <v>Employee Dashboard</v>
      </c>
      <c r="E188" s="14" t="str">
        <f>IFERROR(VLOOKUP($C188,'Test Library'!$A:$P,3,FALSE),"")</f>
        <v>Self-service dashboard</v>
      </c>
      <c r="F188" s="14" t="str">
        <f>IFERROR(VLOOKUP($C188,'Test Library'!$A:$P,5,FALSE),"")</f>
        <v>Display shifts for the current week</v>
      </c>
      <c r="G188" s="14" t="str">
        <f>IFERROR(VLOOKUP($C188,'Test Library'!$A:$P,6,FALSE),"")</f>
        <v>Critical</v>
      </c>
      <c r="H188" s="14" t="inlineStr">
        <is>
          <t xml:space="preserve">Staging</t>
        </is>
      </c>
      <c r="I188" s="14" t="inlineStr">
        <is>
          <t xml:space="preserve">Not Run</t>
        </is>
      </c>
      <c r="J188" s="14"/>
      <c r="K188" s="17"/>
      <c r="L188" s="14"/>
      <c r="M188" s="14"/>
      <c r="N188" s="14"/>
      <c r="O188" s="14" t="inlineStr">
        <is>
          <t xml:space="preserve">Not Required</t>
        </is>
      </c>
      <c r="P188" s="14" t="str">
        <f>IFERROR(VLOOKUP($C188,'Test Library'!$A:$P,14,FALSE),"")</f>
        <v>Yes</v>
      </c>
      <c r="Q188" s="14"/>
    </row>
    <row r="189">
      <c r="A189" s="14" t="inlineStr">
        <is>
          <t xml:space="preserve">BETARUN-0189</t>
        </is>
      </c>
      <c r="B189" s="14" t="inlineStr">
        <is>
          <t xml:space="preserve">Beta Release</t>
        </is>
      </c>
      <c r="C189" s="14" t="inlineStr">
        <is>
          <t xml:space="preserve">RR-0189</t>
        </is>
      </c>
      <c r="D189" s="14" t="str">
        <f>IFERROR(VLOOKUP($C189,'Test Library'!$A:$P,2,FALSE),"")</f>
        <v>Employee Dashboard</v>
      </c>
      <c r="E189" s="14" t="str">
        <f>IFERROR(VLOOKUP($C189,'Test Library'!$A:$P,3,FALSE),"")</f>
        <v>Self-service dashboard</v>
      </c>
      <c r="F189" s="14" t="str">
        <f>IFERROR(VLOOKUP($C189,'Test Library'!$A:$P,5,FALSE),"")</f>
        <v>Employee works at two locations</v>
      </c>
      <c r="G189" s="14" t="str">
        <f>IFERROR(VLOOKUP($C189,'Test Library'!$A:$P,6,FALSE),"")</f>
        <v>High</v>
      </c>
      <c r="H189" s="14" t="inlineStr">
        <is>
          <t xml:space="preserve">Staging</t>
        </is>
      </c>
      <c r="I189" s="14" t="inlineStr">
        <is>
          <t xml:space="preserve">Not Run</t>
        </is>
      </c>
      <c r="J189" s="14"/>
      <c r="K189" s="17"/>
      <c r="L189" s="14"/>
      <c r="M189" s="14"/>
      <c r="N189" s="14"/>
      <c r="O189" s="14" t="inlineStr">
        <is>
          <t xml:space="preserve">Not Required</t>
        </is>
      </c>
      <c r="P189" s="14" t="str">
        <f>IFERROR(VLOOKUP($C189,'Test Library'!$A:$P,14,FALSE),"")</f>
        <v>Yes</v>
      </c>
      <c r="Q189" s="14"/>
    </row>
    <row r="190">
      <c r="A190" s="14" t="inlineStr">
        <is>
          <t xml:space="preserve">BETARUN-0190</t>
        </is>
      </c>
      <c r="B190" s="14" t="inlineStr">
        <is>
          <t xml:space="preserve">Beta Release</t>
        </is>
      </c>
      <c r="C190" s="14" t="inlineStr">
        <is>
          <t xml:space="preserve">RR-0190</t>
        </is>
      </c>
      <c r="D190" s="14" t="str">
        <f>IFERROR(VLOOKUP($C190,'Test Library'!$A:$P,2,FALSE),"")</f>
        <v>Employee Dashboard</v>
      </c>
      <c r="E190" s="14" t="str">
        <f>IFERROR(VLOOKUP($C190,'Test Library'!$A:$P,3,FALSE),"")</f>
        <v>Self-service dashboard</v>
      </c>
      <c r="F190" s="14" t="str">
        <f>IFERROR(VLOOKUP($C190,'Test Library'!$A:$P,5,FALSE),"")</f>
        <v>A published shift is changed</v>
      </c>
      <c r="G190" s="14" t="str">
        <f>IFERROR(VLOOKUP($C190,'Test Library'!$A:$P,6,FALSE),"")</f>
        <v>High</v>
      </c>
      <c r="H190" s="14" t="inlineStr">
        <is>
          <t xml:space="preserve">Staging</t>
        </is>
      </c>
      <c r="I190" s="14" t="inlineStr">
        <is>
          <t xml:space="preserve">Not Run</t>
        </is>
      </c>
      <c r="J190" s="14"/>
      <c r="K190" s="17"/>
      <c r="L190" s="14"/>
      <c r="M190" s="14"/>
      <c r="N190" s="14"/>
      <c r="O190" s="14" t="inlineStr">
        <is>
          <t xml:space="preserve">Not Required</t>
        </is>
      </c>
      <c r="P190" s="14" t="str">
        <f>IFERROR(VLOOKUP($C190,'Test Library'!$A:$P,14,FALSE),"")</f>
        <v>Yes</v>
      </c>
      <c r="Q190" s="14"/>
    </row>
    <row r="191">
      <c r="A191" s="14" t="inlineStr">
        <is>
          <t xml:space="preserve">BETARUN-0191</t>
        </is>
      </c>
      <c r="B191" s="14" t="inlineStr">
        <is>
          <t xml:space="preserve">Beta Release</t>
        </is>
      </c>
      <c r="C191" s="14" t="inlineStr">
        <is>
          <t xml:space="preserve">RR-0191</t>
        </is>
      </c>
      <c r="D191" s="14" t="str">
        <f>IFERROR(VLOOKUP($C191,'Test Library'!$A:$P,2,FALSE),"")</f>
        <v>Employee Dashboard</v>
      </c>
      <c r="E191" s="14" t="str">
        <f>IFERROR(VLOOKUP($C191,'Test Library'!$A:$P,3,FALSE),"")</f>
        <v>Self-service dashboard</v>
      </c>
      <c r="F191" s="14" t="str">
        <f>IFERROR(VLOOKUP($C191,'Test Library'!$A:$P,5,FALSE),"")</f>
        <v>Open a shift detail</v>
      </c>
      <c r="G191" s="14" t="str">
        <f>IFERROR(VLOOKUP($C191,'Test Library'!$A:$P,6,FALSE),"")</f>
        <v>Critical</v>
      </c>
      <c r="H191" s="14" t="inlineStr">
        <is>
          <t xml:space="preserve">Staging</t>
        </is>
      </c>
      <c r="I191" s="14" t="inlineStr">
        <is>
          <t xml:space="preserve">Not Run</t>
        </is>
      </c>
      <c r="J191" s="14"/>
      <c r="K191" s="17"/>
      <c r="L191" s="14"/>
      <c r="M191" s="14"/>
      <c r="N191" s="14"/>
      <c r="O191" s="14" t="inlineStr">
        <is>
          <t xml:space="preserve">Not Required</t>
        </is>
      </c>
      <c r="P191" s="14" t="str">
        <f>IFERROR(VLOOKUP($C191,'Test Library'!$A:$P,14,FALSE),"")</f>
        <v>Yes</v>
      </c>
      <c r="Q191" s="14"/>
    </row>
    <row r="192">
      <c r="A192" s="14" t="inlineStr">
        <is>
          <t xml:space="preserve">BETARUN-0192</t>
        </is>
      </c>
      <c r="B192" s="14" t="inlineStr">
        <is>
          <t xml:space="preserve">Beta Release</t>
        </is>
      </c>
      <c r="C192" s="14" t="inlineStr">
        <is>
          <t xml:space="preserve">RR-0192</t>
        </is>
      </c>
      <c r="D192" s="14" t="str">
        <f>IFERROR(VLOOKUP($C192,'Test Library'!$A:$P,2,FALSE),"")</f>
        <v>Employee Dashboard</v>
      </c>
      <c r="E192" s="14" t="str">
        <f>IFERROR(VLOOKUP($C192,'Test Library'!$A:$P,3,FALSE),"")</f>
        <v>Self-service dashboard</v>
      </c>
      <c r="F192" s="14" t="str">
        <f>IFERROR(VLOOKUP($C192,'Test Library'!$A:$P,5,FALSE),"")</f>
        <v>Display estimated/scheduled weekly hours</v>
      </c>
      <c r="G192" s="14" t="str">
        <f>IFERROR(VLOOKUP($C192,'Test Library'!$A:$P,6,FALSE),"")</f>
        <v>High</v>
      </c>
      <c r="H192" s="14" t="inlineStr">
        <is>
          <t xml:space="preserve">Staging</t>
        </is>
      </c>
      <c r="I192" s="14" t="inlineStr">
        <is>
          <t xml:space="preserve">Not Run</t>
        </is>
      </c>
      <c r="J192" s="14"/>
      <c r="K192" s="17"/>
      <c r="L192" s="14"/>
      <c r="M192" s="14"/>
      <c r="N192" s="14"/>
      <c r="O192" s="14" t="inlineStr">
        <is>
          <t xml:space="preserve">Not Required</t>
        </is>
      </c>
      <c r="P192" s="14" t="str">
        <f>IFERROR(VLOOKUP($C192,'Test Library'!$A:$P,14,FALSE),"")</f>
        <v>Yes</v>
      </c>
      <c r="Q192" s="14"/>
    </row>
    <row r="193">
      <c r="A193" s="14" t="inlineStr">
        <is>
          <t xml:space="preserve">BETARUN-0193</t>
        </is>
      </c>
      <c r="B193" s="14" t="inlineStr">
        <is>
          <t xml:space="preserve">Beta Release</t>
        </is>
      </c>
      <c r="C193" s="14" t="inlineStr">
        <is>
          <t xml:space="preserve">RR-0193</t>
        </is>
      </c>
      <c r="D193" s="14" t="str">
        <f>IFERROR(VLOOKUP($C193,'Test Library'!$A:$P,2,FALSE),"")</f>
        <v>Employee Dashboard</v>
      </c>
      <c r="E193" s="14" t="str">
        <f>IFERROR(VLOOKUP($C193,'Test Library'!$A:$P,3,FALSE),"")</f>
        <v>Self-service dashboard</v>
      </c>
      <c r="F193" s="14" t="str">
        <f>IFERROR(VLOOKUP($C193,'Test Library'!$A:$P,5,FALSE),"")</f>
        <v>View announcements</v>
      </c>
      <c r="G193" s="14" t="str">
        <f>IFERROR(VLOOKUP($C193,'Test Library'!$A:$P,6,FALSE),"")</f>
        <v>High</v>
      </c>
      <c r="H193" s="14" t="inlineStr">
        <is>
          <t xml:space="preserve">Staging</t>
        </is>
      </c>
      <c r="I193" s="14" t="inlineStr">
        <is>
          <t xml:space="preserve">Not Run</t>
        </is>
      </c>
      <c r="J193" s="14"/>
      <c r="K193" s="17"/>
      <c r="L193" s="14"/>
      <c r="M193" s="14"/>
      <c r="N193" s="14"/>
      <c r="O193" s="14" t="inlineStr">
        <is>
          <t xml:space="preserve">Not Required</t>
        </is>
      </c>
      <c r="P193" s="14" t="str">
        <f>IFERROR(VLOOKUP($C193,'Test Library'!$A:$P,14,FALSE),"")</f>
        <v>Yes</v>
      </c>
      <c r="Q193" s="14"/>
    </row>
    <row r="194">
      <c r="A194" s="14" t="inlineStr">
        <is>
          <t xml:space="preserve">BETARUN-0194</t>
        </is>
      </c>
      <c r="B194" s="14" t="inlineStr">
        <is>
          <t xml:space="preserve">Beta Release</t>
        </is>
      </c>
      <c r="C194" s="14" t="inlineStr">
        <is>
          <t xml:space="preserve">RR-0194</t>
        </is>
      </c>
      <c r="D194" s="14" t="str">
        <f>IFERROR(VLOOKUP($C194,'Test Library'!$A:$P,2,FALSE),"")</f>
        <v>Employee Dashboard</v>
      </c>
      <c r="E194" s="14" t="str">
        <f>IFERROR(VLOOKUP($C194,'Test Library'!$A:$P,3,FALSE),"")</f>
        <v>Self-service dashboard</v>
      </c>
      <c r="F194" s="14" t="str">
        <f>IFERROR(VLOOKUP($C194,'Test Library'!$A:$P,5,FALSE),"")</f>
        <v>Dismiss an announcement</v>
      </c>
      <c r="G194" s="14" t="str">
        <f>IFERROR(VLOOKUP($C194,'Test Library'!$A:$P,6,FALSE),"")</f>
        <v>Medium</v>
      </c>
      <c r="H194" s="14" t="inlineStr">
        <is>
          <t xml:space="preserve">Staging</t>
        </is>
      </c>
      <c r="I194" s="14" t="inlineStr">
        <is>
          <t xml:space="preserve">Not Run</t>
        </is>
      </c>
      <c r="J194" s="14"/>
      <c r="K194" s="17"/>
      <c r="L194" s="14"/>
      <c r="M194" s="14"/>
      <c r="N194" s="14"/>
      <c r="O194" s="14" t="inlineStr">
        <is>
          <t xml:space="preserve">Not Required</t>
        </is>
      </c>
      <c r="P194" s="14" t="str">
        <f>IFERROR(VLOOKUP($C194,'Test Library'!$A:$P,14,FALSE),"")</f>
        <v>No</v>
      </c>
      <c r="Q194" s="14"/>
    </row>
    <row r="195">
      <c r="A195" s="14" t="inlineStr">
        <is>
          <t xml:space="preserve">BETARUN-0195</t>
        </is>
      </c>
      <c r="B195" s="14" t="inlineStr">
        <is>
          <t xml:space="preserve">Beta Release</t>
        </is>
      </c>
      <c r="C195" s="14" t="inlineStr">
        <is>
          <t xml:space="preserve">RR-0195</t>
        </is>
      </c>
      <c r="D195" s="14" t="str">
        <f>IFERROR(VLOOKUP($C195,'Test Library'!$A:$P,2,FALSE),"")</f>
        <v>Employee Dashboard</v>
      </c>
      <c r="E195" s="14" t="str">
        <f>IFERROR(VLOOKUP($C195,'Test Library'!$A:$P,3,FALSE),"")</f>
        <v>Self-service dashboard</v>
      </c>
      <c r="F195" s="14" t="str">
        <f>IFERROR(VLOOKUP($C195,'Test Library'!$A:$P,5,FALSE),"")</f>
        <v>Use dashboard on mobile with system text enlarged</v>
      </c>
      <c r="G195" s="14" t="str">
        <f>IFERROR(VLOOKUP($C195,'Test Library'!$A:$P,6,FALSE),"")</f>
        <v>High</v>
      </c>
      <c r="H195" s="14" t="inlineStr">
        <is>
          <t xml:space="preserve">Staging</t>
        </is>
      </c>
      <c r="I195" s="14" t="inlineStr">
        <is>
          <t xml:space="preserve">Not Run</t>
        </is>
      </c>
      <c r="J195" s="14"/>
      <c r="K195" s="17"/>
      <c r="L195" s="14"/>
      <c r="M195" s="14"/>
      <c r="N195" s="14"/>
      <c r="O195" s="14" t="inlineStr">
        <is>
          <t xml:space="preserve">Not Required</t>
        </is>
      </c>
      <c r="P195" s="14" t="str">
        <f>IFERROR(VLOOKUP($C195,'Test Library'!$A:$P,14,FALSE),"")</f>
        <v>Yes</v>
      </c>
      <c r="Q195" s="14"/>
    </row>
    <row r="196">
      <c r="A196" s="14" t="inlineStr">
        <is>
          <t xml:space="preserve">BETARUN-0196</t>
        </is>
      </c>
      <c r="B196" s="14" t="inlineStr">
        <is>
          <t xml:space="preserve">Beta Release</t>
        </is>
      </c>
      <c r="C196" s="14" t="inlineStr">
        <is>
          <t xml:space="preserve">RR-0196</t>
        </is>
      </c>
      <c r="D196" s="14" t="str">
        <f>IFERROR(VLOOKUP($C196,'Test Library'!$A:$P,2,FALSE),"")</f>
        <v>Employee Dashboard</v>
      </c>
      <c r="E196" s="14" t="str">
        <f>IFERROR(VLOOKUP($C196,'Test Library'!$A:$P,3,FALSE),"")</f>
        <v>Self-service dashboard</v>
      </c>
      <c r="F196" s="14" t="str">
        <f>IFERROR(VLOOKUP($C196,'Test Library'!$A:$P,5,FALSE),"")</f>
        <v>Dashboard API request returns an error</v>
      </c>
      <c r="G196" s="14" t="str">
        <f>IFERROR(VLOOKUP($C196,'Test Library'!$A:$P,6,FALSE),"")</f>
        <v>High</v>
      </c>
      <c r="H196" s="14" t="inlineStr">
        <is>
          <t xml:space="preserve">Staging</t>
        </is>
      </c>
      <c r="I196" s="14" t="inlineStr">
        <is>
          <t xml:space="preserve">Not Run</t>
        </is>
      </c>
      <c r="J196" s="14"/>
      <c r="K196" s="17"/>
      <c r="L196" s="14"/>
      <c r="M196" s="14"/>
      <c r="N196" s="14"/>
      <c r="O196" s="14" t="inlineStr">
        <is>
          <t xml:space="preserve">Not Required</t>
        </is>
      </c>
      <c r="P196" s="14" t="str">
        <f>IFERROR(VLOOKUP($C196,'Test Library'!$A:$P,14,FALSE),"")</f>
        <v>Yes</v>
      </c>
      <c r="Q196" s="14"/>
    </row>
    <row r="197">
      <c r="A197" s="14" t="inlineStr">
        <is>
          <t xml:space="preserve">BETARUN-0197</t>
        </is>
      </c>
      <c r="B197" s="14" t="inlineStr">
        <is>
          <t xml:space="preserve">Beta Release</t>
        </is>
      </c>
      <c r="C197" s="14" t="inlineStr">
        <is>
          <t xml:space="preserve">RR-0197</t>
        </is>
      </c>
      <c r="D197" s="14" t="str">
        <f>IFERROR(VLOOKUP($C197,'Test Library'!$A:$P,2,FALSE),"")</f>
        <v>T&amp;A Activation &amp; Stations</v>
      </c>
      <c r="E197" s="14" t="str">
        <f>IFERROR(VLOOKUP($C197,'Test Library'!$A:$P,3,FALSE),"")</f>
        <v>Add-on and station lifecycle</v>
      </c>
      <c r="F197" s="14" t="str">
        <f>IFERROR(VLOOKUP($C197,'Test Library'!$A:$P,5,FALSE),"")</f>
        <v>Enable Time &amp; Attendance for a location before station delivery</v>
      </c>
      <c r="G197" s="14" t="str">
        <f>IFERROR(VLOOKUP($C197,'Test Library'!$A:$P,6,FALSE),"")</f>
        <v>Critical</v>
      </c>
      <c r="H197" s="14" t="inlineStr">
        <is>
          <t xml:space="preserve">Staging</t>
        </is>
      </c>
      <c r="I197" s="14" t="inlineStr">
        <is>
          <t xml:space="preserve">Not Run</t>
        </is>
      </c>
      <c r="J197" s="14"/>
      <c r="K197" s="17"/>
      <c r="L197" s="14"/>
      <c r="M197" s="14"/>
      <c r="N197" s="14"/>
      <c r="O197" s="14" t="inlineStr">
        <is>
          <t xml:space="preserve">Not Required</t>
        </is>
      </c>
      <c r="P197" s="14" t="str">
        <f>IFERROR(VLOOKUP($C197,'Test Library'!$A:$P,14,FALSE),"")</f>
        <v>Yes</v>
      </c>
      <c r="Q197" s="14"/>
    </row>
    <row r="198">
      <c r="A198" s="14" t="inlineStr">
        <is>
          <t xml:space="preserve">BETARUN-0198</t>
        </is>
      </c>
      <c r="B198" s="14" t="inlineStr">
        <is>
          <t xml:space="preserve">Beta Release</t>
        </is>
      </c>
      <c r="C198" s="14" t="inlineStr">
        <is>
          <t xml:space="preserve">RR-0198</t>
        </is>
      </c>
      <c r="D198" s="14" t="str">
        <f>IFERROR(VLOOKUP($C198,'Test Library'!$A:$P,2,FALSE),"")</f>
        <v>T&amp;A Activation &amp; Stations</v>
      </c>
      <c r="E198" s="14" t="str">
        <f>IFERROR(VLOOKUP($C198,'Test Library'!$A:$P,3,FALSE),"")</f>
        <v>Add-on and station lifecycle</v>
      </c>
      <c r="F198" s="14" t="str">
        <f>IFERROR(VLOOKUP($C198,'Test Library'!$A:$P,5,FALSE),"")</f>
        <v>Activate a delivered station from settings</v>
      </c>
      <c r="G198" s="14" t="str">
        <f>IFERROR(VLOOKUP($C198,'Test Library'!$A:$P,6,FALSE),"")</f>
        <v>Critical</v>
      </c>
      <c r="H198" s="14" t="inlineStr">
        <is>
          <t xml:space="preserve">Staging</t>
        </is>
      </c>
      <c r="I198" s="14" t="inlineStr">
        <is>
          <t xml:space="preserve">Not Run</t>
        </is>
      </c>
      <c r="J198" s="14"/>
      <c r="K198" s="17"/>
      <c r="L198" s="14"/>
      <c r="M198" s="14"/>
      <c r="N198" s="14"/>
      <c r="O198" s="14" t="inlineStr">
        <is>
          <t xml:space="preserve">Not Required</t>
        </is>
      </c>
      <c r="P198" s="14" t="str">
        <f>IFERROR(VLOOKUP($C198,'Test Library'!$A:$P,14,FALSE),"")</f>
        <v>Yes</v>
      </c>
      <c r="Q198" s="14"/>
    </row>
    <row r="199">
      <c r="A199" s="14" t="inlineStr">
        <is>
          <t xml:space="preserve">BETARUN-0199</t>
        </is>
      </c>
      <c r="B199" s="14" t="inlineStr">
        <is>
          <t xml:space="preserve">Beta Release</t>
        </is>
      </c>
      <c r="C199" s="14" t="inlineStr">
        <is>
          <t xml:space="preserve">RR-0199</t>
        </is>
      </c>
      <c r="D199" s="14" t="str">
        <f>IFERROR(VLOOKUP($C199,'Test Library'!$A:$P,2,FALSE),"")</f>
        <v>T&amp;A Activation &amp; Stations</v>
      </c>
      <c r="E199" s="14" t="str">
        <f>IFERROR(VLOOKUP($C199,'Test Library'!$A:$P,3,FALSE),"")</f>
        <v>Add-on and station lifecycle</v>
      </c>
      <c r="F199" s="14" t="str">
        <f>IFERROR(VLOOKUP($C199,'Test Library'!$A:$P,5,FALSE),"")</f>
        <v>Activate the same station twice</v>
      </c>
      <c r="G199" s="14" t="str">
        <f>IFERROR(VLOOKUP($C199,'Test Library'!$A:$P,6,FALSE),"")</f>
        <v>Critical</v>
      </c>
      <c r="H199" s="14" t="inlineStr">
        <is>
          <t xml:space="preserve">Staging</t>
        </is>
      </c>
      <c r="I199" s="14" t="inlineStr">
        <is>
          <t xml:space="preserve">Not Run</t>
        </is>
      </c>
      <c r="J199" s="14"/>
      <c r="K199" s="17"/>
      <c r="L199" s="14"/>
      <c r="M199" s="14"/>
      <c r="N199" s="14"/>
      <c r="O199" s="14" t="inlineStr">
        <is>
          <t xml:space="preserve">Not Required</t>
        </is>
      </c>
      <c r="P199" s="14" t="str">
        <f>IFERROR(VLOOKUP($C199,'Test Library'!$A:$P,14,FALSE),"")</f>
        <v>Yes</v>
      </c>
      <c r="Q199" s="14"/>
    </row>
    <row r="200">
      <c r="A200" s="14" t="inlineStr">
        <is>
          <t xml:space="preserve">BETARUN-0200</t>
        </is>
      </c>
      <c r="B200" s="14" t="inlineStr">
        <is>
          <t xml:space="preserve">Beta Release</t>
        </is>
      </c>
      <c r="C200" s="14" t="inlineStr">
        <is>
          <t xml:space="preserve">RR-0200</t>
        </is>
      </c>
      <c r="D200" s="14" t="str">
        <f>IFERROR(VLOOKUP($C200,'Test Library'!$A:$P,2,FALSE),"")</f>
        <v>T&amp;A Activation &amp; Stations</v>
      </c>
      <c r="E200" s="14" t="str">
        <f>IFERROR(VLOOKUP($C200,'Test Library'!$A:$P,3,FALSE),"")</f>
        <v>Add-on and station lifecycle</v>
      </c>
      <c r="F200" s="14" t="str">
        <f>IFERROR(VLOOKUP($C200,'Test Library'!$A:$P,5,FALSE),"")</f>
        <v>Activate a station using an invalid code</v>
      </c>
      <c r="G200" s="14" t="str">
        <f>IFERROR(VLOOKUP($C200,'Test Library'!$A:$P,6,FALSE),"")</f>
        <v>High</v>
      </c>
      <c r="H200" s="14" t="inlineStr">
        <is>
          <t xml:space="preserve">Staging</t>
        </is>
      </c>
      <c r="I200" s="14" t="inlineStr">
        <is>
          <t xml:space="preserve">Not Run</t>
        </is>
      </c>
      <c r="J200" s="14"/>
      <c r="K200" s="17"/>
      <c r="L200" s="14"/>
      <c r="M200" s="14"/>
      <c r="N200" s="14"/>
      <c r="O200" s="14" t="inlineStr">
        <is>
          <t xml:space="preserve">Not Required</t>
        </is>
      </c>
      <c r="P200" s="14" t="str">
        <f>IFERROR(VLOOKUP($C200,'Test Library'!$A:$P,14,FALSE),"")</f>
        <v>Yes</v>
      </c>
      <c r="Q200" s="14"/>
    </row>
    <row r="201">
      <c r="A201" s="14" t="inlineStr">
        <is>
          <t xml:space="preserve">BETARUN-0201</t>
        </is>
      </c>
      <c r="B201" s="14" t="inlineStr">
        <is>
          <t xml:space="preserve">Beta Release</t>
        </is>
      </c>
      <c r="C201" s="14" t="inlineStr">
        <is>
          <t xml:space="preserve">RR-0201</t>
        </is>
      </c>
      <c r="D201" s="14" t="str">
        <f>IFERROR(VLOOKUP($C201,'Test Library'!$A:$P,2,FALSE),"")</f>
        <v>T&amp;A Activation &amp; Stations</v>
      </c>
      <c r="E201" s="14" t="str">
        <f>IFERROR(VLOOKUP($C201,'Test Library'!$A:$P,3,FALSE),"")</f>
        <v>Add-on and station lifecycle</v>
      </c>
      <c r="F201" s="14" t="str">
        <f>IFERROR(VLOOKUP($C201,'Test Library'!$A:$P,5,FALSE),"")</f>
        <v>Activate a station already assigned to another organisation</v>
      </c>
      <c r="G201" s="14" t="str">
        <f>IFERROR(VLOOKUP($C201,'Test Library'!$A:$P,6,FALSE),"")</f>
        <v>Critical</v>
      </c>
      <c r="H201" s="14" t="inlineStr">
        <is>
          <t xml:space="preserve">Staging</t>
        </is>
      </c>
      <c r="I201" s="14" t="inlineStr">
        <is>
          <t xml:space="preserve">Not Run</t>
        </is>
      </c>
      <c r="J201" s="14"/>
      <c r="K201" s="17"/>
      <c r="L201" s="14"/>
      <c r="M201" s="14"/>
      <c r="N201" s="14"/>
      <c r="O201" s="14" t="inlineStr">
        <is>
          <t xml:space="preserve">Not Required</t>
        </is>
      </c>
      <c r="P201" s="14" t="str">
        <f>IFERROR(VLOOKUP($C201,'Test Library'!$A:$P,14,FALSE),"")</f>
        <v>Yes</v>
      </c>
      <c r="Q201" s="14"/>
    </row>
    <row r="202">
      <c r="A202" s="14" t="inlineStr">
        <is>
          <t xml:space="preserve">BETARUN-0202</t>
        </is>
      </c>
      <c r="B202" s="14" t="inlineStr">
        <is>
          <t xml:space="preserve">Beta Release</t>
        </is>
      </c>
      <c r="C202" s="14" t="inlineStr">
        <is>
          <t xml:space="preserve">RR-0202</t>
        </is>
      </c>
      <c r="D202" s="14" t="str">
        <f>IFERROR(VLOOKUP($C202,'Test Library'!$A:$P,2,FALSE),"")</f>
        <v>T&amp;A Activation &amp; Stations</v>
      </c>
      <c r="E202" s="14" t="str">
        <f>IFERROR(VLOOKUP($C202,'Test Library'!$A:$P,3,FALSE),"")</f>
        <v>Add-on and station lifecycle</v>
      </c>
      <c r="F202" s="14" t="str">
        <f>IFERROR(VLOOKUP($C202,'Test Library'!$A:$P,5,FALSE),"")</f>
        <v>Move a station to another location</v>
      </c>
      <c r="G202" s="14" t="str">
        <f>IFERROR(VLOOKUP($C202,'Test Library'!$A:$P,6,FALSE),"")</f>
        <v>Critical</v>
      </c>
      <c r="H202" s="14" t="inlineStr">
        <is>
          <t xml:space="preserve">Staging</t>
        </is>
      </c>
      <c r="I202" s="14" t="inlineStr">
        <is>
          <t xml:space="preserve">Not Run</t>
        </is>
      </c>
      <c r="J202" s="14"/>
      <c r="K202" s="17"/>
      <c r="L202" s="14"/>
      <c r="M202" s="14"/>
      <c r="N202" s="14"/>
      <c r="O202" s="14" t="inlineStr">
        <is>
          <t xml:space="preserve">Not Required</t>
        </is>
      </c>
      <c r="P202" s="14" t="str">
        <f>IFERROR(VLOOKUP($C202,'Test Library'!$A:$P,14,FALSE),"")</f>
        <v>Yes</v>
      </c>
      <c r="Q202" s="14"/>
    </row>
    <row r="203">
      <c r="A203" s="14" t="inlineStr">
        <is>
          <t xml:space="preserve">BETARUN-0203</t>
        </is>
      </c>
      <c r="B203" s="14" t="inlineStr">
        <is>
          <t xml:space="preserve">Beta Release</t>
        </is>
      </c>
      <c r="C203" s="14" t="inlineStr">
        <is>
          <t xml:space="preserve">RR-0203</t>
        </is>
      </c>
      <c r="D203" s="14" t="str">
        <f>IFERROR(VLOOKUP($C203,'Test Library'!$A:$P,2,FALSE),"")</f>
        <v>T&amp;A Activation &amp; Stations</v>
      </c>
      <c r="E203" s="14" t="str">
        <f>IFERROR(VLOOKUP($C203,'Test Library'!$A:$P,3,FALSE),"")</f>
        <v>Add-on and station lifecycle</v>
      </c>
      <c r="F203" s="14" t="str">
        <f>IFERROR(VLOOKUP($C203,'Test Library'!$A:$P,5,FALSE),"")</f>
        <v>Deactivate a station</v>
      </c>
      <c r="G203" s="14" t="str">
        <f>IFERROR(VLOOKUP($C203,'Test Library'!$A:$P,6,FALSE),"")</f>
        <v>Critical</v>
      </c>
      <c r="H203" s="14" t="inlineStr">
        <is>
          <t xml:space="preserve">Staging</t>
        </is>
      </c>
      <c r="I203" s="14" t="inlineStr">
        <is>
          <t xml:space="preserve">Not Run</t>
        </is>
      </c>
      <c r="J203" s="14"/>
      <c r="K203" s="17"/>
      <c r="L203" s="14"/>
      <c r="M203" s="14"/>
      <c r="N203" s="14"/>
      <c r="O203" s="14" t="inlineStr">
        <is>
          <t xml:space="preserve">Not Required</t>
        </is>
      </c>
      <c r="P203" s="14" t="str">
        <f>IFERROR(VLOOKUP($C203,'Test Library'!$A:$P,14,FALSE),"")</f>
        <v>Yes</v>
      </c>
      <c r="Q203" s="14"/>
    </row>
    <row r="204">
      <c r="A204" s="14" t="inlineStr">
        <is>
          <t xml:space="preserve">BETARUN-0204</t>
        </is>
      </c>
      <c r="B204" s="14" t="inlineStr">
        <is>
          <t xml:space="preserve">Beta Release</t>
        </is>
      </c>
      <c r="C204" s="14" t="inlineStr">
        <is>
          <t xml:space="preserve">RR-0204</t>
        </is>
      </c>
      <c r="D204" s="14" t="str">
        <f>IFERROR(VLOOKUP($C204,'Test Library'!$A:$P,2,FALSE),"")</f>
        <v>T&amp;A Activation &amp; Stations</v>
      </c>
      <c r="E204" s="14" t="str">
        <f>IFERROR(VLOOKUP($C204,'Test Library'!$A:$P,3,FALSE),"")</f>
        <v>Add-on and station lifecycle</v>
      </c>
      <c r="F204" s="14" t="str">
        <f>IFERROR(VLOOKUP($C204,'Test Library'!$A:$P,5,FALSE),"")</f>
        <v>Cancel the T&amp;A add-on</v>
      </c>
      <c r="G204" s="14" t="str">
        <f>IFERROR(VLOOKUP($C204,'Test Library'!$A:$P,6,FALSE),"")</f>
        <v>Critical</v>
      </c>
      <c r="H204" s="14" t="inlineStr">
        <is>
          <t xml:space="preserve">Staging</t>
        </is>
      </c>
      <c r="I204" s="14" t="inlineStr">
        <is>
          <t xml:space="preserve">Not Run</t>
        </is>
      </c>
      <c r="J204" s="14"/>
      <c r="K204" s="17"/>
      <c r="L204" s="14"/>
      <c r="M204" s="14"/>
      <c r="N204" s="14"/>
      <c r="O204" s="14" t="inlineStr">
        <is>
          <t xml:space="preserve">Not Required</t>
        </is>
      </c>
      <c r="P204" s="14" t="str">
        <f>IFERROR(VLOOKUP($C204,'Test Library'!$A:$P,14,FALSE),"")</f>
        <v>Yes</v>
      </c>
      <c r="Q204" s="14"/>
    </row>
    <row r="205">
      <c r="A205" s="14" t="inlineStr">
        <is>
          <t xml:space="preserve">BETARUN-0205</t>
        </is>
      </c>
      <c r="B205" s="14" t="inlineStr">
        <is>
          <t xml:space="preserve">Beta Release</t>
        </is>
      </c>
      <c r="C205" s="14" t="inlineStr">
        <is>
          <t xml:space="preserve">RR-0205</t>
        </is>
      </c>
      <c r="D205" s="14" t="str">
        <f>IFERROR(VLOOKUP($C205,'Test Library'!$A:$P,2,FALSE),"")</f>
        <v>T&amp;A Activation &amp; Stations</v>
      </c>
      <c r="E205" s="14" t="str">
        <f>IFERROR(VLOOKUP($C205,'Test Library'!$A:$P,3,FALSE),"")</f>
        <v>Add-on and station lifecycle</v>
      </c>
      <c r="F205" s="14" t="str">
        <f>IFERROR(VLOOKUP($C205,'Test Library'!$A:$P,5,FALSE),"")</f>
        <v>Reactivate a cancelled add-on</v>
      </c>
      <c r="G205" s="14" t="str">
        <f>IFERROR(VLOOKUP($C205,'Test Library'!$A:$P,6,FALSE),"")</f>
        <v>High</v>
      </c>
      <c r="H205" s="14" t="inlineStr">
        <is>
          <t xml:space="preserve">Staging</t>
        </is>
      </c>
      <c r="I205" s="14" t="inlineStr">
        <is>
          <t xml:space="preserve">Not Run</t>
        </is>
      </c>
      <c r="J205" s="14"/>
      <c r="K205" s="17"/>
      <c r="L205" s="14"/>
      <c r="M205" s="14"/>
      <c r="N205" s="14"/>
      <c r="O205" s="14" t="inlineStr">
        <is>
          <t xml:space="preserve">Not Required</t>
        </is>
      </c>
      <c r="P205" s="14" t="str">
        <f>IFERROR(VLOOKUP($C205,'Test Library'!$A:$P,14,FALSE),"")</f>
        <v>Yes</v>
      </c>
      <c r="Q205" s="14"/>
    </row>
    <row r="206">
      <c r="A206" s="14" t="inlineStr">
        <is>
          <t xml:space="preserve">BETARUN-0206</t>
        </is>
      </c>
      <c r="B206" s="14" t="inlineStr">
        <is>
          <t xml:space="preserve">Beta Release</t>
        </is>
      </c>
      <c r="C206" s="14" t="inlineStr">
        <is>
          <t xml:space="preserve">RR-0206</t>
        </is>
      </c>
      <c r="D206" s="14" t="str">
        <f>IFERROR(VLOOKUP($C206,'Test Library'!$A:$P,2,FALSE),"")</f>
        <v>T&amp;A Activation &amp; Stations</v>
      </c>
      <c r="E206" s="14" t="str">
        <f>IFERROR(VLOOKUP($C206,'Test Library'!$A:$P,3,FALSE),"")</f>
        <v>Add-on and station lifecycle</v>
      </c>
      <c r="F206" s="14" t="str">
        <f>IFERROR(VLOOKUP($C206,'Test Library'!$A:$P,5,FALSE),"")</f>
        <v>Location is archived while station is active</v>
      </c>
      <c r="G206" s="14" t="str">
        <f>IFERROR(VLOOKUP($C206,'Test Library'!$A:$P,6,FALSE),"")</f>
        <v>Critical</v>
      </c>
      <c r="H206" s="14" t="inlineStr">
        <is>
          <t xml:space="preserve">Staging</t>
        </is>
      </c>
      <c r="I206" s="14" t="inlineStr">
        <is>
          <t xml:space="preserve">Not Run</t>
        </is>
      </c>
      <c r="J206" s="14"/>
      <c r="K206" s="17"/>
      <c r="L206" s="14"/>
      <c r="M206" s="14"/>
      <c r="N206" s="14"/>
      <c r="O206" s="14" t="inlineStr">
        <is>
          <t xml:space="preserve">Not Required</t>
        </is>
      </c>
      <c r="P206" s="14" t="str">
        <f>IFERROR(VLOOKUP($C206,'Test Library'!$A:$P,14,FALSE),"")</f>
        <v>Yes</v>
      </c>
      <c r="Q206" s="14"/>
    </row>
    <row r="207">
      <c r="A207" s="14" t="inlineStr">
        <is>
          <t xml:space="preserve">BETARUN-0207</t>
        </is>
      </c>
      <c r="B207" s="14" t="inlineStr">
        <is>
          <t xml:space="preserve">Beta Release</t>
        </is>
      </c>
      <c r="C207" s="14" t="inlineStr">
        <is>
          <t xml:space="preserve">RR-0207</t>
        </is>
      </c>
      <c r="D207" s="14" t="str">
        <f>IFERROR(VLOOKUP($C207,'Test Library'!$A:$P,2,FALSE),"")</f>
        <v>T&amp;A Activation &amp; Stations</v>
      </c>
      <c r="E207" s="14" t="str">
        <f>IFERROR(VLOOKUP($C207,'Test Library'!$A:$P,3,FALSE),"")</f>
        <v>Add-on and station lifecycle</v>
      </c>
      <c r="F207" s="14" t="str">
        <f>IFERROR(VLOOKUP($C207,'Test Library'!$A:$P,5,FALSE),"")</f>
        <v>Station status is viewed by an employee</v>
      </c>
      <c r="G207" s="14" t="str">
        <f>IFERROR(VLOOKUP($C207,'Test Library'!$A:$P,6,FALSE),"")</f>
        <v>Critical</v>
      </c>
      <c r="H207" s="14" t="inlineStr">
        <is>
          <t xml:space="preserve">Staging</t>
        </is>
      </c>
      <c r="I207" s="14" t="inlineStr">
        <is>
          <t xml:space="preserve">Not Run</t>
        </is>
      </c>
      <c r="J207" s="14"/>
      <c r="K207" s="17"/>
      <c r="L207" s="14"/>
      <c r="M207" s="14"/>
      <c r="N207" s="14"/>
      <c r="O207" s="14" t="inlineStr">
        <is>
          <t xml:space="preserve">Not Required</t>
        </is>
      </c>
      <c r="P207" s="14" t="str">
        <f>IFERROR(VLOOKUP($C207,'Test Library'!$A:$P,14,FALSE),"")</f>
        <v>Yes</v>
      </c>
      <c r="Q207" s="14"/>
    </row>
    <row r="208">
      <c r="A208" s="14" t="inlineStr">
        <is>
          <t xml:space="preserve">BETARUN-0208</t>
        </is>
      </c>
      <c r="B208" s="14" t="inlineStr">
        <is>
          <t xml:space="preserve">Beta Release</t>
        </is>
      </c>
      <c r="C208" s="14" t="inlineStr">
        <is>
          <t xml:space="preserve">RR-0208</t>
        </is>
      </c>
      <c r="D208" s="14" t="str">
        <f>IFERROR(VLOOKUP($C208,'Test Library'!$A:$P,2,FALSE),"")</f>
        <v>T&amp;A Activation &amp; Stations</v>
      </c>
      <c r="E208" s="14" t="str">
        <f>IFERROR(VLOOKUP($C208,'Test Library'!$A:$P,3,FALSE),"")</f>
        <v>Add-on and station lifecycle</v>
      </c>
      <c r="F208" s="14" t="str">
        <f>IFERROR(VLOOKUP($C208,'Test Library'!$A:$P,5,FALSE),"")</f>
        <v>Rotate a station/card key</v>
      </c>
      <c r="G208" s="14" t="str">
        <f>IFERROR(VLOOKUP($C208,'Test Library'!$A:$P,6,FALSE),"")</f>
        <v>Critical</v>
      </c>
      <c r="H208" s="14" t="inlineStr">
        <is>
          <t xml:space="preserve">Staging</t>
        </is>
      </c>
      <c r="I208" s="14" t="inlineStr">
        <is>
          <t xml:space="preserve">Not Run</t>
        </is>
      </c>
      <c r="J208" s="14"/>
      <c r="K208" s="17"/>
      <c r="L208" s="14"/>
      <c r="M208" s="14"/>
      <c r="N208" s="14"/>
      <c r="O208" s="14" t="inlineStr">
        <is>
          <t xml:space="preserve">Not Required</t>
        </is>
      </c>
      <c r="P208" s="14" t="str">
        <f>IFERROR(VLOOKUP($C208,'Test Library'!$A:$P,14,FALSE),"")</f>
        <v>Yes</v>
      </c>
      <c r="Q208" s="14"/>
    </row>
    <row r="209">
      <c r="A209" s="14" t="inlineStr">
        <is>
          <t xml:space="preserve">BETARUN-0209</t>
        </is>
      </c>
      <c r="B209" s="14" t="inlineStr">
        <is>
          <t xml:space="preserve">Beta Release</t>
        </is>
      </c>
      <c r="C209" s="14" t="inlineStr">
        <is>
          <t xml:space="preserve">RR-0209</t>
        </is>
      </c>
      <c r="D209" s="14" t="str">
        <f>IFERROR(VLOOKUP($C209,'Test Library'!$A:$P,2,FALSE),"")</f>
        <v>T&amp;A Activation &amp; Stations</v>
      </c>
      <c r="E209" s="14" t="str">
        <f>IFERROR(VLOOKUP($C209,'Test Library'!$A:$P,3,FALSE),"")</f>
        <v>Add-on and station lifecycle</v>
      </c>
      <c r="F209" s="14" t="str">
        <f>IFERROR(VLOOKUP($C209,'Test Library'!$A:$P,5,FALSE),"")</f>
        <v>Station loses connectivity</v>
      </c>
      <c r="G209" s="14" t="str">
        <f>IFERROR(VLOOKUP($C209,'Test Library'!$A:$P,6,FALSE),"")</f>
        <v>High</v>
      </c>
      <c r="H209" s="14" t="inlineStr">
        <is>
          <t xml:space="preserve">Staging</t>
        </is>
      </c>
      <c r="I209" s="14" t="inlineStr">
        <is>
          <t xml:space="preserve">Not Run</t>
        </is>
      </c>
      <c r="J209" s="14"/>
      <c r="K209" s="17"/>
      <c r="L209" s="14"/>
      <c r="M209" s="14"/>
      <c r="N209" s="14"/>
      <c r="O209" s="14" t="inlineStr">
        <is>
          <t xml:space="preserve">Not Required</t>
        </is>
      </c>
      <c r="P209" s="14" t="str">
        <f>IFERROR(VLOOKUP($C209,'Test Library'!$A:$P,14,FALSE),"")</f>
        <v>Yes</v>
      </c>
      <c r="Q209" s="14"/>
    </row>
    <row r="210">
      <c r="A210" s="14" t="inlineStr">
        <is>
          <t xml:space="preserve">BETARUN-0210</t>
        </is>
      </c>
      <c r="B210" s="14" t="inlineStr">
        <is>
          <t xml:space="preserve">Beta Release</t>
        </is>
      </c>
      <c r="C210" s="14" t="inlineStr">
        <is>
          <t xml:space="preserve">RR-0210</t>
        </is>
      </c>
      <c r="D210" s="14" t="str">
        <f>IFERROR(VLOOKUP($C210,'Test Library'!$A:$P,2,FALSE),"")</f>
        <v>T&amp;A Activation &amp; Stations</v>
      </c>
      <c r="E210" s="14" t="str">
        <f>IFERROR(VLOOKUP($C210,'Test Library'!$A:$P,3,FALSE),"")</f>
        <v>Add-on and station lifecycle</v>
      </c>
      <c r="F210" s="14" t="str">
        <f>IFERROR(VLOOKUP($C210,'Test Library'!$A:$P,5,FALSE),"")</f>
        <v>Station clock is incorrect</v>
      </c>
      <c r="G210" s="14" t="str">
        <f>IFERROR(VLOOKUP($C210,'Test Library'!$A:$P,6,FALSE),"")</f>
        <v>Critical</v>
      </c>
      <c r="H210" s="14" t="inlineStr">
        <is>
          <t xml:space="preserve">Staging</t>
        </is>
      </c>
      <c r="I210" s="14" t="inlineStr">
        <is>
          <t xml:space="preserve">Not Run</t>
        </is>
      </c>
      <c r="J210" s="14"/>
      <c r="K210" s="17"/>
      <c r="L210" s="14"/>
      <c r="M210" s="14"/>
      <c r="N210" s="14"/>
      <c r="O210" s="14" t="inlineStr">
        <is>
          <t xml:space="preserve">Not Required</t>
        </is>
      </c>
      <c r="P210" s="14" t="str">
        <f>IFERROR(VLOOKUP($C210,'Test Library'!$A:$P,14,FALSE),"")</f>
        <v>Yes</v>
      </c>
      <c r="Q210" s="14"/>
    </row>
    <row r="211">
      <c r="A211" s="14" t="inlineStr">
        <is>
          <t xml:space="preserve">BETARUN-0211</t>
        </is>
      </c>
      <c r="B211" s="14" t="inlineStr">
        <is>
          <t xml:space="preserve">Beta Release</t>
        </is>
      </c>
      <c r="C211" s="14" t="inlineStr">
        <is>
          <t xml:space="preserve">RR-0211</t>
        </is>
      </c>
      <c r="D211" s="14" t="str">
        <f>IFERROR(VLOOKUP($C211,'Test Library'!$A:$P,2,FALSE),"")</f>
        <v>T&amp;A Activation &amp; Stations</v>
      </c>
      <c r="E211" s="14" t="str">
        <f>IFERROR(VLOOKUP($C211,'Test Library'!$A:$P,3,FALSE),"")</f>
        <v>Add-on and station lifecycle</v>
      </c>
      <c r="F211" s="14" t="str">
        <f>IFERROR(VLOOKUP($C211,'Test Library'!$A:$P,5,FALSE),"")</f>
        <v>Activate during a Stripe/provider outage</v>
      </c>
      <c r="G211" s="14" t="str">
        <f>IFERROR(VLOOKUP($C211,'Test Library'!$A:$P,6,FALSE),"")</f>
        <v>Critical</v>
      </c>
      <c r="H211" s="14" t="inlineStr">
        <is>
          <t xml:space="preserve">Staging</t>
        </is>
      </c>
      <c r="I211" s="14" t="inlineStr">
        <is>
          <t xml:space="preserve">Not Run</t>
        </is>
      </c>
      <c r="J211" s="14"/>
      <c r="K211" s="17"/>
      <c r="L211" s="14"/>
      <c r="M211" s="14"/>
      <c r="N211" s="14"/>
      <c r="O211" s="14" t="inlineStr">
        <is>
          <t xml:space="preserve">Not Required</t>
        </is>
      </c>
      <c r="P211" s="14" t="str">
        <f>IFERROR(VLOOKUP($C211,'Test Library'!$A:$P,14,FALSE),"")</f>
        <v>Yes</v>
      </c>
      <c r="Q211" s="14"/>
    </row>
    <row r="212">
      <c r="A212" s="14" t="inlineStr">
        <is>
          <t xml:space="preserve">BETARUN-0212</t>
        </is>
      </c>
      <c r="B212" s="14" t="inlineStr">
        <is>
          <t xml:space="preserve">Beta Release</t>
        </is>
      </c>
      <c r="C212" s="14" t="inlineStr">
        <is>
          <t xml:space="preserve">RR-0212</t>
        </is>
      </c>
      <c r="D212" s="14" t="str">
        <f>IFERROR(VLOOKUP($C212,'Test Library'!$A:$P,2,FALSE),"")</f>
        <v>T&amp;A Activation &amp; Stations</v>
      </c>
      <c r="E212" s="14" t="str">
        <f>IFERROR(VLOOKUP($C212,'Test Library'!$A:$P,3,FALSE),"")</f>
        <v>Add-on and station lifecycle</v>
      </c>
      <c r="F212" s="14" t="str">
        <f>IFERROR(VLOOKUP($C212,'Test Library'!$A:$P,5,FALSE),"")</f>
        <v>Admin views station health</v>
      </c>
      <c r="G212" s="14" t="str">
        <f>IFERROR(VLOOKUP($C212,'Test Library'!$A:$P,6,FALSE),"")</f>
        <v>High</v>
      </c>
      <c r="H212" s="14" t="inlineStr">
        <is>
          <t xml:space="preserve">Staging</t>
        </is>
      </c>
      <c r="I212" s="14" t="inlineStr">
        <is>
          <t xml:space="preserve">Not Run</t>
        </is>
      </c>
      <c r="J212" s="14"/>
      <c r="K212" s="17"/>
      <c r="L212" s="14"/>
      <c r="M212" s="14"/>
      <c r="N212" s="14"/>
      <c r="O212" s="14" t="inlineStr">
        <is>
          <t xml:space="preserve">Not Required</t>
        </is>
      </c>
      <c r="P212" s="14" t="str">
        <f>IFERROR(VLOOKUP($C212,'Test Library'!$A:$P,14,FALSE),"")</f>
        <v>Yes</v>
      </c>
      <c r="Q212" s="14"/>
    </row>
    <row r="213">
      <c r="A213" s="14" t="inlineStr">
        <is>
          <t xml:space="preserve">BETARUN-0213</t>
        </is>
      </c>
      <c r="B213" s="14" t="inlineStr">
        <is>
          <t xml:space="preserve">Beta Release</t>
        </is>
      </c>
      <c r="C213" s="14" t="inlineStr">
        <is>
          <t xml:space="preserve">RR-0213</t>
        </is>
      </c>
      <c r="D213" s="14" t="str">
        <f>IFERROR(VLOOKUP($C213,'Test Library'!$A:$P,2,FALSE),"")</f>
        <v>NFC Clock-in Security</v>
      </c>
      <c r="E213" s="14" t="str">
        <f>IFERROR(VLOOKUP($C213,'Test Library'!$A:$P,3,FALSE),"")</f>
        <v>SUN URL and card validation</v>
      </c>
      <c r="F213" s="14" t="str">
        <f>IFERROR(VLOOKUP($C213,'Test Library'!$A:$P,5,FALSE),"")</f>
        <v>Tap a correctly configured NTAG 424 DNA card</v>
      </c>
      <c r="G213" s="14" t="str">
        <f>IFERROR(VLOOKUP($C213,'Test Library'!$A:$P,6,FALSE),"")</f>
        <v>Critical</v>
      </c>
      <c r="H213" s="14" t="inlineStr">
        <is>
          <t xml:space="preserve">Staging</t>
        </is>
      </c>
      <c r="I213" s="14" t="inlineStr">
        <is>
          <t xml:space="preserve">Not Run</t>
        </is>
      </c>
      <c r="J213" s="14"/>
      <c r="K213" s="17"/>
      <c r="L213" s="14"/>
      <c r="M213" s="14"/>
      <c r="N213" s="14"/>
      <c r="O213" s="14" t="inlineStr">
        <is>
          <t xml:space="preserve">Not Required</t>
        </is>
      </c>
      <c r="P213" s="14" t="str">
        <f>IFERROR(VLOOKUP($C213,'Test Library'!$A:$P,14,FALSE),"")</f>
        <v>Yes</v>
      </c>
      <c r="Q213" s="14"/>
    </row>
    <row r="214">
      <c r="A214" s="14" t="inlineStr">
        <is>
          <t xml:space="preserve">BETARUN-0214</t>
        </is>
      </c>
      <c r="B214" s="14" t="inlineStr">
        <is>
          <t xml:space="preserve">Beta Release</t>
        </is>
      </c>
      <c r="C214" s="14" t="inlineStr">
        <is>
          <t xml:space="preserve">RR-0214</t>
        </is>
      </c>
      <c r="D214" s="14" t="str">
        <f>IFERROR(VLOOKUP($C214,'Test Library'!$A:$P,2,FALSE),"")</f>
        <v>NFC Clock-in Security</v>
      </c>
      <c r="E214" s="14" t="str">
        <f>IFERROR(VLOOKUP($C214,'Test Library'!$A:$P,3,FALSE),"")</f>
        <v>SUN URL and card validation</v>
      </c>
      <c r="F214" s="14" t="str">
        <f>IFERROR(VLOOKUP($C214,'Test Library'!$A:$P,5,FALSE),"")</f>
        <v>Tamper with encrypted PICC data parameter</v>
      </c>
      <c r="G214" s="14" t="str">
        <f>IFERROR(VLOOKUP($C214,'Test Library'!$A:$P,6,FALSE),"")</f>
        <v>Critical</v>
      </c>
      <c r="H214" s="14" t="inlineStr">
        <is>
          <t xml:space="preserve">Staging</t>
        </is>
      </c>
      <c r="I214" s="14" t="inlineStr">
        <is>
          <t xml:space="preserve">Not Run</t>
        </is>
      </c>
      <c r="J214" s="14"/>
      <c r="K214" s="17"/>
      <c r="L214" s="14"/>
      <c r="M214" s="14"/>
      <c r="N214" s="14"/>
      <c r="O214" s="14" t="inlineStr">
        <is>
          <t xml:space="preserve">Not Required</t>
        </is>
      </c>
      <c r="P214" s="14" t="str">
        <f>IFERROR(VLOOKUP($C214,'Test Library'!$A:$P,14,FALSE),"")</f>
        <v>Yes</v>
      </c>
      <c r="Q214" s="14"/>
    </row>
    <row r="215">
      <c r="A215" s="14" t="inlineStr">
        <is>
          <t xml:space="preserve">BETARUN-0215</t>
        </is>
      </c>
      <c r="B215" s="14" t="inlineStr">
        <is>
          <t xml:space="preserve">Beta Release</t>
        </is>
      </c>
      <c r="C215" s="14" t="inlineStr">
        <is>
          <t xml:space="preserve">RR-0215</t>
        </is>
      </c>
      <c r="D215" s="14" t="str">
        <f>IFERROR(VLOOKUP($C215,'Test Library'!$A:$P,2,FALSE),"")</f>
        <v>NFC Clock-in Security</v>
      </c>
      <c r="E215" s="14" t="str">
        <f>IFERROR(VLOOKUP($C215,'Test Library'!$A:$P,3,FALSE),"")</f>
        <v>SUN URL and card validation</v>
      </c>
      <c r="F215" s="14" t="str">
        <f>IFERROR(VLOOKUP($C215,'Test Library'!$A:$P,5,FALSE),"")</f>
        <v>Tamper with CMAC</v>
      </c>
      <c r="G215" s="14" t="str">
        <f>IFERROR(VLOOKUP($C215,'Test Library'!$A:$P,6,FALSE),"")</f>
        <v>Critical</v>
      </c>
      <c r="H215" s="14" t="inlineStr">
        <is>
          <t xml:space="preserve">Staging</t>
        </is>
      </c>
      <c r="I215" s="14" t="inlineStr">
        <is>
          <t xml:space="preserve">Not Run</t>
        </is>
      </c>
      <c r="J215" s="14"/>
      <c r="K215" s="17"/>
      <c r="L215" s="14"/>
      <c r="M215" s="14"/>
      <c r="N215" s="14"/>
      <c r="O215" s="14" t="inlineStr">
        <is>
          <t xml:space="preserve">Not Required</t>
        </is>
      </c>
      <c r="P215" s="14" t="str">
        <f>IFERROR(VLOOKUP($C215,'Test Library'!$A:$P,14,FALSE),"")</f>
        <v>Yes</v>
      </c>
      <c r="Q215" s="14"/>
    </row>
    <row r="216">
      <c r="A216" s="14" t="inlineStr">
        <is>
          <t xml:space="preserve">BETARUN-0216</t>
        </is>
      </c>
      <c r="B216" s="14" t="inlineStr">
        <is>
          <t xml:space="preserve">Beta Release</t>
        </is>
      </c>
      <c r="C216" s="14" t="inlineStr">
        <is>
          <t xml:space="preserve">RR-0216</t>
        </is>
      </c>
      <c r="D216" s="14" t="str">
        <f>IFERROR(VLOOKUP($C216,'Test Library'!$A:$P,2,FALSE),"")</f>
        <v>NFC Clock-in Security</v>
      </c>
      <c r="E216" s="14" t="str">
        <f>IFERROR(VLOOKUP($C216,'Test Library'!$A:$P,3,FALSE),"")</f>
        <v>SUN URL and card validation</v>
      </c>
      <c r="F216" s="14" t="str">
        <f>IFERROR(VLOOKUP($C216,'Test Library'!$A:$P,5,FALSE),"")</f>
        <v>Use a URL with missing required parameters</v>
      </c>
      <c r="G216" s="14" t="str">
        <f>IFERROR(VLOOKUP($C216,'Test Library'!$A:$P,6,FALSE),"")</f>
        <v>High</v>
      </c>
      <c r="H216" s="14" t="inlineStr">
        <is>
          <t xml:space="preserve">Staging</t>
        </is>
      </c>
      <c r="I216" s="14" t="inlineStr">
        <is>
          <t xml:space="preserve">Not Run</t>
        </is>
      </c>
      <c r="J216" s="14"/>
      <c r="K216" s="17"/>
      <c r="L216" s="14"/>
      <c r="M216" s="14"/>
      <c r="N216" s="14"/>
      <c r="O216" s="14" t="inlineStr">
        <is>
          <t xml:space="preserve">Not Required</t>
        </is>
      </c>
      <c r="P216" s="14" t="str">
        <f>IFERROR(VLOOKUP($C216,'Test Library'!$A:$P,14,FALSE),"")</f>
        <v>Yes</v>
      </c>
      <c r="Q216" s="14"/>
    </row>
    <row r="217">
      <c r="A217" s="14" t="inlineStr">
        <is>
          <t xml:space="preserve">BETARUN-0217</t>
        </is>
      </c>
      <c r="B217" s="14" t="inlineStr">
        <is>
          <t xml:space="preserve">Beta Release</t>
        </is>
      </c>
      <c r="C217" s="14" t="inlineStr">
        <is>
          <t xml:space="preserve">RR-0217</t>
        </is>
      </c>
      <c r="D217" s="14" t="str">
        <f>IFERROR(VLOOKUP($C217,'Test Library'!$A:$P,2,FALSE),"")</f>
        <v>NFC Clock-in Security</v>
      </c>
      <c r="E217" s="14" t="str">
        <f>IFERROR(VLOOKUP($C217,'Test Library'!$A:$P,3,FALSE),"")</f>
        <v>SUN URL and card validation</v>
      </c>
      <c r="F217" s="14" t="str">
        <f>IFERROR(VLOOKUP($C217,'Test Library'!$A:$P,5,FALSE),"")</f>
        <v>Replay an already-used counter</v>
      </c>
      <c r="G217" s="14" t="str">
        <f>IFERROR(VLOOKUP($C217,'Test Library'!$A:$P,6,FALSE),"")</f>
        <v>Critical</v>
      </c>
      <c r="H217" s="14" t="inlineStr">
        <is>
          <t xml:space="preserve">Staging</t>
        </is>
      </c>
      <c r="I217" s="14" t="inlineStr">
        <is>
          <t xml:space="preserve">Not Run</t>
        </is>
      </c>
      <c r="J217" s="14"/>
      <c r="K217" s="17"/>
      <c r="L217" s="14"/>
      <c r="M217" s="14"/>
      <c r="N217" s="14"/>
      <c r="O217" s="14" t="inlineStr">
        <is>
          <t xml:space="preserve">Not Required</t>
        </is>
      </c>
      <c r="P217" s="14" t="str">
        <f>IFERROR(VLOOKUP($C217,'Test Library'!$A:$P,14,FALSE),"")</f>
        <v>Yes</v>
      </c>
      <c r="Q217" s="14"/>
    </row>
    <row r="218">
      <c r="A218" s="14" t="inlineStr">
        <is>
          <t xml:space="preserve">BETARUN-0218</t>
        </is>
      </c>
      <c r="B218" s="14" t="inlineStr">
        <is>
          <t xml:space="preserve">Beta Release</t>
        </is>
      </c>
      <c r="C218" s="14" t="inlineStr">
        <is>
          <t xml:space="preserve">RR-0218</t>
        </is>
      </c>
      <c r="D218" s="14" t="str">
        <f>IFERROR(VLOOKUP($C218,'Test Library'!$A:$P,2,FALSE),"")</f>
        <v>NFC Clock-in Security</v>
      </c>
      <c r="E218" s="14" t="str">
        <f>IFERROR(VLOOKUP($C218,'Test Library'!$A:$P,3,FALSE),"")</f>
        <v>SUN URL and card validation</v>
      </c>
      <c r="F218" s="14" t="str">
        <f>IFERROR(VLOOKUP($C218,'Test Library'!$A:$P,5,FALSE),"")</f>
        <v>Use a valid but expired tap URL</v>
      </c>
      <c r="G218" s="14" t="str">
        <f>IFERROR(VLOOKUP($C218,'Test Library'!$A:$P,6,FALSE),"")</f>
        <v>Critical</v>
      </c>
      <c r="H218" s="14" t="inlineStr">
        <is>
          <t xml:space="preserve">Staging</t>
        </is>
      </c>
      <c r="I218" s="14" t="inlineStr">
        <is>
          <t xml:space="preserve">Not Run</t>
        </is>
      </c>
      <c r="J218" s="14"/>
      <c r="K218" s="17"/>
      <c r="L218" s="14"/>
      <c r="M218" s="14"/>
      <c r="N218" s="14"/>
      <c r="O218" s="14" t="inlineStr">
        <is>
          <t xml:space="preserve">Not Required</t>
        </is>
      </c>
      <c r="P218" s="14" t="str">
        <f>IFERROR(VLOOKUP($C218,'Test Library'!$A:$P,14,FALSE),"")</f>
        <v>Yes</v>
      </c>
      <c r="Q218" s="14"/>
    </row>
    <row r="219">
      <c r="A219" s="14" t="inlineStr">
        <is>
          <t xml:space="preserve">BETARUN-0219</t>
        </is>
      </c>
      <c r="B219" s="14" t="inlineStr">
        <is>
          <t xml:space="preserve">Beta Release</t>
        </is>
      </c>
      <c r="C219" s="14" t="inlineStr">
        <is>
          <t xml:space="preserve">RR-0219</t>
        </is>
      </c>
      <c r="D219" s="14" t="str">
        <f>IFERROR(VLOOKUP($C219,'Test Library'!$A:$P,2,FALSE),"")</f>
        <v>NFC Clock-in Security</v>
      </c>
      <c r="E219" s="14" t="str">
        <f>IFERROR(VLOOKUP($C219,'Test Library'!$A:$P,3,FALSE),"")</f>
        <v>SUN URL and card validation</v>
      </c>
      <c r="F219" s="14" t="str">
        <f>IFERROR(VLOOKUP($C219,'Test Library'!$A:$P,5,FALSE),"")</f>
        <v>Use two distinct valid taps in quick succession</v>
      </c>
      <c r="G219" s="14" t="str">
        <f>IFERROR(VLOOKUP($C219,'Test Library'!$A:$P,6,FALSE),"")</f>
        <v>Critical</v>
      </c>
      <c r="H219" s="14" t="inlineStr">
        <is>
          <t xml:space="preserve">Staging</t>
        </is>
      </c>
      <c r="I219" s="14" t="inlineStr">
        <is>
          <t xml:space="preserve">Not Run</t>
        </is>
      </c>
      <c r="J219" s="14"/>
      <c r="K219" s="17"/>
      <c r="L219" s="14"/>
      <c r="M219" s="14"/>
      <c r="N219" s="14"/>
      <c r="O219" s="14" t="inlineStr">
        <is>
          <t xml:space="preserve">Not Required</t>
        </is>
      </c>
      <c r="P219" s="14" t="str">
        <f>IFERROR(VLOOKUP($C219,'Test Library'!$A:$P,14,FALSE),"")</f>
        <v>Yes</v>
      </c>
      <c r="Q219" s="14"/>
    </row>
    <row r="220">
      <c r="A220" s="14" t="inlineStr">
        <is>
          <t xml:space="preserve">BETARUN-0220</t>
        </is>
      </c>
      <c r="B220" s="14" t="inlineStr">
        <is>
          <t xml:space="preserve">Beta Release</t>
        </is>
      </c>
      <c r="C220" s="14" t="inlineStr">
        <is>
          <t xml:space="preserve">RR-0220</t>
        </is>
      </c>
      <c r="D220" s="14" t="str">
        <f>IFERROR(VLOOKUP($C220,'Test Library'!$A:$P,2,FALSE),"")</f>
        <v>NFC Clock-in Security</v>
      </c>
      <c r="E220" s="14" t="str">
        <f>IFERROR(VLOOKUP($C220,'Test Library'!$A:$P,3,FALSE),"")</f>
        <v>SUN URL and card validation</v>
      </c>
      <c r="F220" s="14" t="str">
        <f>IFERROR(VLOOKUP($C220,'Test Library'!$A:$P,5,FALSE),"")</f>
        <v>Receive a counter lower than the stored monotonic value</v>
      </c>
      <c r="G220" s="14" t="str">
        <f>IFERROR(VLOOKUP($C220,'Test Library'!$A:$P,6,FALSE),"")</f>
        <v>Critical</v>
      </c>
      <c r="H220" s="14" t="inlineStr">
        <is>
          <t xml:space="preserve">Staging</t>
        </is>
      </c>
      <c r="I220" s="14" t="inlineStr">
        <is>
          <t xml:space="preserve">Not Run</t>
        </is>
      </c>
      <c r="J220" s="14"/>
      <c r="K220" s="17"/>
      <c r="L220" s="14"/>
      <c r="M220" s="14"/>
      <c r="N220" s="14"/>
      <c r="O220" s="14" t="inlineStr">
        <is>
          <t xml:space="preserve">Not Required</t>
        </is>
      </c>
      <c r="P220" s="14" t="str">
        <f>IFERROR(VLOOKUP($C220,'Test Library'!$A:$P,14,FALSE),"")</f>
        <v>Yes</v>
      </c>
      <c r="Q220" s="14"/>
    </row>
    <row r="221">
      <c r="A221" s="14" t="inlineStr">
        <is>
          <t xml:space="preserve">BETARUN-0221</t>
        </is>
      </c>
      <c r="B221" s="14" t="inlineStr">
        <is>
          <t xml:space="preserve">Beta Release</t>
        </is>
      </c>
      <c r="C221" s="14" t="inlineStr">
        <is>
          <t xml:space="preserve">RR-0221</t>
        </is>
      </c>
      <c r="D221" s="14" t="str">
        <f>IFERROR(VLOOKUP($C221,'Test Library'!$A:$P,2,FALSE),"")</f>
        <v>NFC Clock-in Security</v>
      </c>
      <c r="E221" s="14" t="str">
        <f>IFERROR(VLOOKUP($C221,'Test Library'!$A:$P,3,FALSE),"")</f>
        <v>SUN URL and card validation</v>
      </c>
      <c r="F221" s="14" t="str">
        <f>IFERROR(VLOOKUP($C221,'Test Library'!$A:$P,5,FALSE),"")</f>
        <v>Counter approaches rollover boundary</v>
      </c>
      <c r="G221" s="14" t="str">
        <f>IFERROR(VLOOKUP($C221,'Test Library'!$A:$P,6,FALSE),"")</f>
        <v>High</v>
      </c>
      <c r="H221" s="14" t="inlineStr">
        <is>
          <t xml:space="preserve">Staging</t>
        </is>
      </c>
      <c r="I221" s="14" t="inlineStr">
        <is>
          <t xml:space="preserve">Not Run</t>
        </is>
      </c>
      <c r="J221" s="14"/>
      <c r="K221" s="17"/>
      <c r="L221" s="14"/>
      <c r="M221" s="14"/>
      <c r="N221" s="14"/>
      <c r="O221" s="14" t="inlineStr">
        <is>
          <t xml:space="preserve">Not Required</t>
        </is>
      </c>
      <c r="P221" s="14" t="str">
        <f>IFERROR(VLOOKUP($C221,'Test Library'!$A:$P,14,FALSE),"")</f>
        <v>Yes</v>
      </c>
      <c r="Q221" s="14"/>
    </row>
    <row r="222">
      <c r="A222" s="14" t="inlineStr">
        <is>
          <t xml:space="preserve">BETARUN-0222</t>
        </is>
      </c>
      <c r="B222" s="14" t="inlineStr">
        <is>
          <t xml:space="preserve">Beta Release</t>
        </is>
      </c>
      <c r="C222" s="14" t="inlineStr">
        <is>
          <t xml:space="preserve">RR-0222</t>
        </is>
      </c>
      <c r="D222" s="14" t="str">
        <f>IFERROR(VLOOKUP($C222,'Test Library'!$A:$P,2,FALSE),"")</f>
        <v>NFC Clock-in Security</v>
      </c>
      <c r="E222" s="14" t="str">
        <f>IFERROR(VLOOKUP($C222,'Test Library'!$A:$P,3,FALSE),"")</f>
        <v>SUN URL and card validation</v>
      </c>
      <c r="F222" s="14" t="str">
        <f>IFERROR(VLOOKUP($C222,'Test Library'!$A:$P,5,FALSE),"")</f>
        <v>Card UID/public identifier is not linked to a station</v>
      </c>
      <c r="G222" s="14" t="str">
        <f>IFERROR(VLOOKUP($C222,'Test Library'!$A:$P,6,FALSE),"")</f>
        <v>Critical</v>
      </c>
      <c r="H222" s="14" t="inlineStr">
        <is>
          <t xml:space="preserve">Staging</t>
        </is>
      </c>
      <c r="I222" s="14" t="inlineStr">
        <is>
          <t xml:space="preserve">Not Run</t>
        </is>
      </c>
      <c r="J222" s="14"/>
      <c r="K222" s="17"/>
      <c r="L222" s="14"/>
      <c r="M222" s="14"/>
      <c r="N222" s="14"/>
      <c r="O222" s="14" t="inlineStr">
        <is>
          <t xml:space="preserve">Not Required</t>
        </is>
      </c>
      <c r="P222" s="14" t="str">
        <f>IFERROR(VLOOKUP($C222,'Test Library'!$A:$P,14,FALSE),"")</f>
        <v>Yes</v>
      </c>
      <c r="Q222" s="14"/>
    </row>
    <row r="223">
      <c r="A223" s="14" t="inlineStr">
        <is>
          <t xml:space="preserve">BETARUN-0223</t>
        </is>
      </c>
      <c r="B223" s="14" t="inlineStr">
        <is>
          <t xml:space="preserve">Beta Release</t>
        </is>
      </c>
      <c r="C223" s="14" t="inlineStr">
        <is>
          <t xml:space="preserve">RR-0223</t>
        </is>
      </c>
      <c r="D223" s="14" t="str">
        <f>IFERROR(VLOOKUP($C223,'Test Library'!$A:$P,2,FALSE),"")</f>
        <v>NFC Clock-in Security</v>
      </c>
      <c r="E223" s="14" t="str">
        <f>IFERROR(VLOOKUP($C223,'Test Library'!$A:$P,3,FALSE),"")</f>
        <v>SUN URL and card validation</v>
      </c>
      <c r="F223" s="14" t="str">
        <f>IFERROR(VLOOKUP($C223,'Test Library'!$A:$P,5,FALSE),"")</f>
        <v>Card is linked to a disabled station</v>
      </c>
      <c r="G223" s="14" t="str">
        <f>IFERROR(VLOOKUP($C223,'Test Library'!$A:$P,6,FALSE),"")</f>
        <v>Critical</v>
      </c>
      <c r="H223" s="14" t="inlineStr">
        <is>
          <t xml:space="preserve">Staging</t>
        </is>
      </c>
      <c r="I223" s="14" t="inlineStr">
        <is>
          <t xml:space="preserve">Not Run</t>
        </is>
      </c>
      <c r="J223" s="14"/>
      <c r="K223" s="17"/>
      <c r="L223" s="14"/>
      <c r="M223" s="14"/>
      <c r="N223" s="14"/>
      <c r="O223" s="14" t="inlineStr">
        <is>
          <t xml:space="preserve">Not Required</t>
        </is>
      </c>
      <c r="P223" s="14" t="str">
        <f>IFERROR(VLOOKUP($C223,'Test Library'!$A:$P,14,FALSE),"")</f>
        <v>Yes</v>
      </c>
      <c r="Q223" s="14"/>
    </row>
    <row r="224">
      <c r="A224" s="14" t="inlineStr">
        <is>
          <t xml:space="preserve">BETARUN-0224</t>
        </is>
      </c>
      <c r="B224" s="14" t="inlineStr">
        <is>
          <t xml:space="preserve">Beta Release</t>
        </is>
      </c>
      <c r="C224" s="14" t="inlineStr">
        <is>
          <t xml:space="preserve">RR-0224</t>
        </is>
      </c>
      <c r="D224" s="14" t="str">
        <f>IFERROR(VLOOKUP($C224,'Test Library'!$A:$P,2,FALSE),"")</f>
        <v>NFC Clock-in Security</v>
      </c>
      <c r="E224" s="14" t="str">
        <f>IFERROR(VLOOKUP($C224,'Test Library'!$A:$P,3,FALSE),"")</f>
        <v>SUN URL and card validation</v>
      </c>
      <c r="F224" s="14" t="str">
        <f>IFERROR(VLOOKUP($C224,'Test Library'!$A:$P,5,FALSE),"")</f>
        <v>Card is linked to the wrong location</v>
      </c>
      <c r="G224" s="14" t="str">
        <f>IFERROR(VLOOKUP($C224,'Test Library'!$A:$P,6,FALSE),"")</f>
        <v>Critical</v>
      </c>
      <c r="H224" s="14" t="inlineStr">
        <is>
          <t xml:space="preserve">Staging</t>
        </is>
      </c>
      <c r="I224" s="14" t="inlineStr">
        <is>
          <t xml:space="preserve">Not Run</t>
        </is>
      </c>
      <c r="J224" s="14"/>
      <c r="K224" s="17"/>
      <c r="L224" s="14"/>
      <c r="M224" s="14"/>
      <c r="N224" s="14"/>
      <c r="O224" s="14" t="inlineStr">
        <is>
          <t xml:space="preserve">Not Required</t>
        </is>
      </c>
      <c r="P224" s="14" t="str">
        <f>IFERROR(VLOOKUP($C224,'Test Library'!$A:$P,14,FALSE),"")</f>
        <v>Yes</v>
      </c>
      <c r="Q224" s="14"/>
    </row>
    <row r="225">
      <c r="A225" s="14" t="inlineStr">
        <is>
          <t xml:space="preserve">BETARUN-0225</t>
        </is>
      </c>
      <c r="B225" s="14" t="inlineStr">
        <is>
          <t xml:space="preserve">Beta Release</t>
        </is>
      </c>
      <c r="C225" s="14" t="inlineStr">
        <is>
          <t xml:space="preserve">RR-0225</t>
        </is>
      </c>
      <c r="D225" s="14" t="str">
        <f>IFERROR(VLOOKUP($C225,'Test Library'!$A:$P,2,FALSE),"")</f>
        <v>NFC Clock-in Security</v>
      </c>
      <c r="E225" s="14" t="str">
        <f>IFERROR(VLOOKUP($C225,'Test Library'!$A:$P,3,FALSE),"")</f>
        <v>SUN URL and card validation</v>
      </c>
      <c r="F225" s="14" t="str">
        <f>IFERROR(VLOOKUP($C225,'Test Library'!$A:$P,5,FALSE),"")</f>
        <v>Cryptographic key is incorrect in the environment</v>
      </c>
      <c r="G225" s="14" t="str">
        <f>IFERROR(VLOOKUP($C225,'Test Library'!$A:$P,6,FALSE),"")</f>
        <v>Critical</v>
      </c>
      <c r="H225" s="14" t="inlineStr">
        <is>
          <t xml:space="preserve">Staging</t>
        </is>
      </c>
      <c r="I225" s="14" t="inlineStr">
        <is>
          <t xml:space="preserve">Not Run</t>
        </is>
      </c>
      <c r="J225" s="14"/>
      <c r="K225" s="17"/>
      <c r="L225" s="14"/>
      <c r="M225" s="14"/>
      <c r="N225" s="14"/>
      <c r="O225" s="14" t="inlineStr">
        <is>
          <t xml:space="preserve">Not Required</t>
        </is>
      </c>
      <c r="P225" s="14" t="str">
        <f>IFERROR(VLOOKUP($C225,'Test Library'!$A:$P,14,FALSE),"")</f>
        <v>Yes</v>
      </c>
      <c r="Q225" s="14"/>
    </row>
    <row r="226">
      <c r="A226" s="14" t="inlineStr">
        <is>
          <t xml:space="preserve">BETARUN-0226</t>
        </is>
      </c>
      <c r="B226" s="14" t="inlineStr">
        <is>
          <t xml:space="preserve">Beta Release</t>
        </is>
      </c>
      <c r="C226" s="14" t="inlineStr">
        <is>
          <t xml:space="preserve">RR-0226</t>
        </is>
      </c>
      <c r="D226" s="14" t="str">
        <f>IFERROR(VLOOKUP($C226,'Test Library'!$A:$P,2,FALSE),"")</f>
        <v>NFC Clock-in Security</v>
      </c>
      <c r="E226" s="14" t="str">
        <f>IFERROR(VLOOKUP($C226,'Test Library'!$A:$P,3,FALSE),"")</f>
        <v>Clock actions and anti-abuse</v>
      </c>
      <c r="F226" s="14" t="str">
        <f>IFERROR(VLOOKUP($C226,'Test Library'!$A:$P,5,FALSE),"")</f>
        <v>Authenticated employee opens a fresh valid clock URL</v>
      </c>
      <c r="G226" s="14" t="str">
        <f>IFERROR(VLOOKUP($C226,'Test Library'!$A:$P,6,FALSE),"")</f>
        <v>Critical</v>
      </c>
      <c r="H226" s="14" t="inlineStr">
        <is>
          <t xml:space="preserve">Staging</t>
        </is>
      </c>
      <c r="I226" s="14" t="inlineStr">
        <is>
          <t xml:space="preserve">Not Run</t>
        </is>
      </c>
      <c r="J226" s="14"/>
      <c r="K226" s="17"/>
      <c r="L226" s="14"/>
      <c r="M226" s="14"/>
      <c r="N226" s="14"/>
      <c r="O226" s="14" t="inlineStr">
        <is>
          <t xml:space="preserve">Not Required</t>
        </is>
      </c>
      <c r="P226" s="14" t="str">
        <f>IFERROR(VLOOKUP($C226,'Test Library'!$A:$P,14,FALSE),"")</f>
        <v>Yes</v>
      </c>
      <c r="Q226" s="14"/>
    </row>
    <row r="227">
      <c r="A227" s="14" t="inlineStr">
        <is>
          <t xml:space="preserve">BETARUN-0227</t>
        </is>
      </c>
      <c r="B227" s="14" t="inlineStr">
        <is>
          <t xml:space="preserve">Beta Release</t>
        </is>
      </c>
      <c r="C227" s="14" t="inlineStr">
        <is>
          <t xml:space="preserve">RR-0227</t>
        </is>
      </c>
      <c r="D227" s="14" t="str">
        <f>IFERROR(VLOOKUP($C227,'Test Library'!$A:$P,2,FALSE),"")</f>
        <v>NFC Clock-in Security</v>
      </c>
      <c r="E227" s="14" t="str">
        <f>IFERROR(VLOOKUP($C227,'Test Library'!$A:$P,3,FALSE),"")</f>
        <v>Clock actions and anti-abuse</v>
      </c>
      <c r="F227" s="14" t="str">
        <f>IFERROR(VLOOKUP($C227,'Test Library'!$A:$P,5,FALSE),"")</f>
        <v>Unauthenticated user opens a fresh URL</v>
      </c>
      <c r="G227" s="14" t="str">
        <f>IFERROR(VLOOKUP($C227,'Test Library'!$A:$P,6,FALSE),"")</f>
        <v>Critical</v>
      </c>
      <c r="H227" s="14" t="inlineStr">
        <is>
          <t xml:space="preserve">Staging</t>
        </is>
      </c>
      <c r="I227" s="14" t="inlineStr">
        <is>
          <t xml:space="preserve">Not Run</t>
        </is>
      </c>
      <c r="J227" s="14"/>
      <c r="K227" s="17"/>
      <c r="L227" s="14"/>
      <c r="M227" s="14"/>
      <c r="N227" s="14"/>
      <c r="O227" s="14" t="inlineStr">
        <is>
          <t xml:space="preserve">Not Required</t>
        </is>
      </c>
      <c r="P227" s="14" t="str">
        <f>IFERROR(VLOOKUP($C227,'Test Library'!$A:$P,14,FALSE),"")</f>
        <v>Yes</v>
      </c>
      <c r="Q227" s="14"/>
    </row>
    <row r="228">
      <c r="A228" s="14" t="inlineStr">
        <is>
          <t xml:space="preserve">BETARUN-0228</t>
        </is>
      </c>
      <c r="B228" s="14" t="inlineStr">
        <is>
          <t xml:space="preserve">Beta Release</t>
        </is>
      </c>
      <c r="C228" s="14" t="inlineStr">
        <is>
          <t xml:space="preserve">RR-0228</t>
        </is>
      </c>
      <c r="D228" s="14" t="str">
        <f>IFERROR(VLOOKUP($C228,'Test Library'!$A:$P,2,FALSE),"")</f>
        <v>NFC Clock-in Security</v>
      </c>
      <c r="E228" s="14" t="str">
        <f>IFERROR(VLOOKUP($C228,'Test Library'!$A:$P,3,FALSE),"")</f>
        <v>Clock actions and anti-abuse</v>
      </c>
      <c r="F228" s="14" t="str">
        <f>IFERROR(VLOOKUP($C228,'Test Library'!$A:$P,5,FALSE),"")</f>
        <v>Employee forwards the URL before using it</v>
      </c>
      <c r="G228" s="14" t="str">
        <f>IFERROR(VLOOKUP($C228,'Test Library'!$A:$P,6,FALSE),"")</f>
        <v>Critical</v>
      </c>
      <c r="H228" s="14" t="inlineStr">
        <is>
          <t xml:space="preserve">Staging</t>
        </is>
      </c>
      <c r="I228" s="14" t="inlineStr">
        <is>
          <t xml:space="preserve">Not Run</t>
        </is>
      </c>
      <c r="J228" s="14"/>
      <c r="K228" s="17"/>
      <c r="L228" s="14"/>
      <c r="M228" s="14"/>
      <c r="N228" s="14"/>
      <c r="O228" s="14" t="inlineStr">
        <is>
          <t xml:space="preserve">Not Required</t>
        </is>
      </c>
      <c r="P228" s="14" t="str">
        <f>IFERROR(VLOOKUP($C228,'Test Library'!$A:$P,14,FALSE),"")</f>
        <v>Yes</v>
      </c>
      <c r="Q228" s="14"/>
    </row>
    <row r="229">
      <c r="A229" s="14" t="inlineStr">
        <is>
          <t xml:space="preserve">BETARUN-0229</t>
        </is>
      </c>
      <c r="B229" s="14" t="inlineStr">
        <is>
          <t xml:space="preserve">Beta Release</t>
        </is>
      </c>
      <c r="C229" s="14" t="inlineStr">
        <is>
          <t xml:space="preserve">RR-0229</t>
        </is>
      </c>
      <c r="D229" s="14" t="str">
        <f>IFERROR(VLOOKUP($C229,'Test Library'!$A:$P,2,FALSE),"")</f>
        <v>NFC Clock-in Security</v>
      </c>
      <c r="E229" s="14" t="str">
        <f>IFERROR(VLOOKUP($C229,'Test Library'!$A:$P,3,FALSE),"")</f>
        <v>Clock actions and anti-abuse</v>
      </c>
      <c r="F229" s="14" t="str">
        <f>IFERROR(VLOOKUP($C229,'Test Library'!$A:$P,5,FALSE),"")</f>
        <v>Employee forwards the URL after using it</v>
      </c>
      <c r="G229" s="14" t="str">
        <f>IFERROR(VLOOKUP($C229,'Test Library'!$A:$P,6,FALSE),"")</f>
        <v>Critical</v>
      </c>
      <c r="H229" s="14" t="inlineStr">
        <is>
          <t xml:space="preserve">Staging</t>
        </is>
      </c>
      <c r="I229" s="14" t="inlineStr">
        <is>
          <t xml:space="preserve">Not Run</t>
        </is>
      </c>
      <c r="J229" s="14"/>
      <c r="K229" s="17"/>
      <c r="L229" s="14"/>
      <c r="M229" s="14"/>
      <c r="N229" s="14"/>
      <c r="O229" s="14" t="inlineStr">
        <is>
          <t xml:space="preserve">Not Required</t>
        </is>
      </c>
      <c r="P229" s="14" t="str">
        <f>IFERROR(VLOOKUP($C229,'Test Library'!$A:$P,14,FALSE),"")</f>
        <v>Yes</v>
      </c>
      <c r="Q229" s="14"/>
    </row>
    <row r="230">
      <c r="A230" s="14" t="inlineStr">
        <is>
          <t xml:space="preserve">BETARUN-0230</t>
        </is>
      </c>
      <c r="B230" s="14" t="inlineStr">
        <is>
          <t xml:space="preserve">Beta Release</t>
        </is>
      </c>
      <c r="C230" s="14" t="inlineStr">
        <is>
          <t xml:space="preserve">RR-0230</t>
        </is>
      </c>
      <c r="D230" s="14" t="str">
        <f>IFERROR(VLOOKUP($C230,'Test Library'!$A:$P,2,FALSE),"")</f>
        <v>NFC Clock-in Security</v>
      </c>
      <c r="E230" s="14" t="str">
        <f>IFERROR(VLOOKUP($C230,'Test Library'!$A:$P,3,FALSE),"")</f>
        <v>Clock actions and anti-abuse</v>
      </c>
      <c r="F230" s="14" t="str">
        <f>IFERROR(VLOOKUP($C230,'Test Library'!$A:$P,5,FALSE),"")</f>
        <v>Employee attempts to clock into a location they do not belong to</v>
      </c>
      <c r="G230" s="14" t="str">
        <f>IFERROR(VLOOKUP($C230,'Test Library'!$A:$P,6,FALSE),"")</f>
        <v>Critical</v>
      </c>
      <c r="H230" s="14" t="inlineStr">
        <is>
          <t xml:space="preserve">Staging</t>
        </is>
      </c>
      <c r="I230" s="14" t="inlineStr">
        <is>
          <t xml:space="preserve">Not Run</t>
        </is>
      </c>
      <c r="J230" s="14"/>
      <c r="K230" s="17"/>
      <c r="L230" s="14"/>
      <c r="M230" s="14"/>
      <c r="N230" s="14"/>
      <c r="O230" s="14" t="inlineStr">
        <is>
          <t xml:space="preserve">Not Required</t>
        </is>
      </c>
      <c r="P230" s="14" t="str">
        <f>IFERROR(VLOOKUP($C230,'Test Library'!$A:$P,14,FALSE),"")</f>
        <v>Yes</v>
      </c>
      <c r="Q230" s="14"/>
    </row>
    <row r="231">
      <c r="A231" s="14" t="inlineStr">
        <is>
          <t xml:space="preserve">BETARUN-0231</t>
        </is>
      </c>
      <c r="B231" s="14" t="inlineStr">
        <is>
          <t xml:space="preserve">Beta Release</t>
        </is>
      </c>
      <c r="C231" s="14" t="inlineStr">
        <is>
          <t xml:space="preserve">RR-0231</t>
        </is>
      </c>
      <c r="D231" s="14" t="str">
        <f>IFERROR(VLOOKUP($C231,'Test Library'!$A:$P,2,FALSE),"")</f>
        <v>NFC Clock-in Security</v>
      </c>
      <c r="E231" s="14" t="str">
        <f>IFERROR(VLOOKUP($C231,'Test Library'!$A:$P,3,FALSE),"")</f>
        <v>Clock actions and anti-abuse</v>
      </c>
      <c r="F231" s="14" t="str">
        <f>IFERROR(VLOOKUP($C231,'Test Library'!$A:$P,5,FALSE),"")</f>
        <v>Employee clocks in for the expected current shift</v>
      </c>
      <c r="G231" s="14" t="str">
        <f>IFERROR(VLOOKUP($C231,'Test Library'!$A:$P,6,FALSE),"")</f>
        <v>Critical</v>
      </c>
      <c r="H231" s="14" t="inlineStr">
        <is>
          <t xml:space="preserve">Staging</t>
        </is>
      </c>
      <c r="I231" s="14" t="inlineStr">
        <is>
          <t xml:space="preserve">Not Run</t>
        </is>
      </c>
      <c r="J231" s="14"/>
      <c r="K231" s="17"/>
      <c r="L231" s="14"/>
      <c r="M231" s="14"/>
      <c r="N231" s="14"/>
      <c r="O231" s="14" t="inlineStr">
        <is>
          <t xml:space="preserve">Not Required</t>
        </is>
      </c>
      <c r="P231" s="14" t="str">
        <f>IFERROR(VLOOKUP($C231,'Test Library'!$A:$P,14,FALSE),"")</f>
        <v>Yes</v>
      </c>
      <c r="Q231" s="14"/>
    </row>
    <row r="232">
      <c r="A232" s="14" t="inlineStr">
        <is>
          <t xml:space="preserve">BETARUN-0232</t>
        </is>
      </c>
      <c r="B232" s="14" t="inlineStr">
        <is>
          <t xml:space="preserve">Beta Release</t>
        </is>
      </c>
      <c r="C232" s="14" t="inlineStr">
        <is>
          <t xml:space="preserve">RR-0232</t>
        </is>
      </c>
      <c r="D232" s="14" t="str">
        <f>IFERROR(VLOOKUP($C232,'Test Library'!$A:$P,2,FALSE),"")</f>
        <v>NFC Clock-in Security</v>
      </c>
      <c r="E232" s="14" t="str">
        <f>IFERROR(VLOOKUP($C232,'Test Library'!$A:$P,3,FALSE),"")</f>
        <v>Clock actions and anti-abuse</v>
      </c>
      <c r="F232" s="14" t="str">
        <f>IFERROR(VLOOKUP($C232,'Test Library'!$A:$P,5,FALSE),"")</f>
        <v>Employee taps twice rapidly to clock in</v>
      </c>
      <c r="G232" s="14" t="str">
        <f>IFERROR(VLOOKUP($C232,'Test Library'!$A:$P,6,FALSE),"")</f>
        <v>Critical</v>
      </c>
      <c r="H232" s="14" t="inlineStr">
        <is>
          <t xml:space="preserve">Staging</t>
        </is>
      </c>
      <c r="I232" s="14" t="inlineStr">
        <is>
          <t xml:space="preserve">Not Run</t>
        </is>
      </c>
      <c r="J232" s="14"/>
      <c r="K232" s="17"/>
      <c r="L232" s="14"/>
      <c r="M232" s="14"/>
      <c r="N232" s="14"/>
      <c r="O232" s="14" t="inlineStr">
        <is>
          <t xml:space="preserve">Not Required</t>
        </is>
      </c>
      <c r="P232" s="14" t="str">
        <f>IFERROR(VLOOKUP($C232,'Test Library'!$A:$P,14,FALSE),"")</f>
        <v>Yes</v>
      </c>
      <c r="Q232" s="14"/>
    </row>
    <row r="233">
      <c r="A233" s="14" t="inlineStr">
        <is>
          <t xml:space="preserve">BETARUN-0233</t>
        </is>
      </c>
      <c r="B233" s="14" t="inlineStr">
        <is>
          <t xml:space="preserve">Beta Release</t>
        </is>
      </c>
      <c r="C233" s="14" t="inlineStr">
        <is>
          <t xml:space="preserve">RR-0233</t>
        </is>
      </c>
      <c r="D233" s="14" t="str">
        <f>IFERROR(VLOOKUP($C233,'Test Library'!$A:$P,2,FALSE),"")</f>
        <v>NFC Clock-in Security</v>
      </c>
      <c r="E233" s="14" t="str">
        <f>IFERROR(VLOOKUP($C233,'Test Library'!$A:$P,3,FALSE),"")</f>
        <v>Clock actions and anti-abuse</v>
      </c>
      <c r="F233" s="14" t="str">
        <f>IFERROR(VLOOKUP($C233,'Test Library'!$A:$P,5,FALSE),"")</f>
        <v>Employee attempts to clock in two hours early</v>
      </c>
      <c r="G233" s="14" t="str">
        <f>IFERROR(VLOOKUP($C233,'Test Library'!$A:$P,6,FALSE),"")</f>
        <v>Critical</v>
      </c>
      <c r="H233" s="14" t="inlineStr">
        <is>
          <t xml:space="preserve">Staging</t>
        </is>
      </c>
      <c r="I233" s="14" t="inlineStr">
        <is>
          <t xml:space="preserve">Not Run</t>
        </is>
      </c>
      <c r="J233" s="14"/>
      <c r="K233" s="17"/>
      <c r="L233" s="14"/>
      <c r="M233" s="14"/>
      <c r="N233" s="14"/>
      <c r="O233" s="14" t="inlineStr">
        <is>
          <t xml:space="preserve">Not Required</t>
        </is>
      </c>
      <c r="P233" s="14" t="str">
        <f>IFERROR(VLOOKUP($C233,'Test Library'!$A:$P,14,FALSE),"")</f>
        <v>Yes</v>
      </c>
      <c r="Q233" s="14"/>
    </row>
    <row r="234">
      <c r="A234" s="14" t="inlineStr">
        <is>
          <t xml:space="preserve">BETARUN-0234</t>
        </is>
      </c>
      <c r="B234" s="14" t="inlineStr">
        <is>
          <t xml:space="preserve">Beta Release</t>
        </is>
      </c>
      <c r="C234" s="14" t="inlineStr">
        <is>
          <t xml:space="preserve">RR-0234</t>
        </is>
      </c>
      <c r="D234" s="14" t="str">
        <f>IFERROR(VLOOKUP($C234,'Test Library'!$A:$P,2,FALSE),"")</f>
        <v>NFC Clock-in Security</v>
      </c>
      <c r="E234" s="14" t="str">
        <f>IFERROR(VLOOKUP($C234,'Test Library'!$A:$P,3,FALSE),"")</f>
        <v>Clock actions and anti-abuse</v>
      </c>
      <c r="F234" s="14" t="str">
        <f>IFERROR(VLOOKUP($C234,'Test Library'!$A:$P,5,FALSE),"")</f>
        <v>Employee arrives two hours after a pushed-back shift not updated on rota</v>
      </c>
      <c r="G234" s="14" t="str">
        <f>IFERROR(VLOOKUP($C234,'Test Library'!$A:$P,6,FALSE),"")</f>
        <v>High</v>
      </c>
      <c r="H234" s="14" t="inlineStr">
        <is>
          <t xml:space="preserve">Staging</t>
        </is>
      </c>
      <c r="I234" s="14" t="inlineStr">
        <is>
          <t xml:space="preserve">Not Run</t>
        </is>
      </c>
      <c r="J234" s="14"/>
      <c r="K234" s="17"/>
      <c r="L234" s="14"/>
      <c r="M234" s="14"/>
      <c r="N234" s="14"/>
      <c r="O234" s="14" t="inlineStr">
        <is>
          <t xml:space="preserve">Not Required</t>
        </is>
      </c>
      <c r="P234" s="14" t="str">
        <f>IFERROR(VLOOKUP($C234,'Test Library'!$A:$P,14,FALSE),"")</f>
        <v>Yes</v>
      </c>
      <c r="Q234" s="14"/>
    </row>
    <row r="235">
      <c r="A235" s="14" t="inlineStr">
        <is>
          <t xml:space="preserve">BETARUN-0235</t>
        </is>
      </c>
      <c r="B235" s="14" t="inlineStr">
        <is>
          <t xml:space="preserve">Beta Release</t>
        </is>
      </c>
      <c r="C235" s="14" t="inlineStr">
        <is>
          <t xml:space="preserve">RR-0235</t>
        </is>
      </c>
      <c r="D235" s="14" t="str">
        <f>IFERROR(VLOOKUP($C235,'Test Library'!$A:$P,2,FALSE),"")</f>
        <v>NFC Clock-in Security</v>
      </c>
      <c r="E235" s="14" t="str">
        <f>IFERROR(VLOOKUP($C235,'Test Library'!$A:$P,3,FALSE),"")</f>
        <v>Clock actions and anti-abuse</v>
      </c>
      <c r="F235" s="14" t="str">
        <f>IFERROR(VLOOKUP($C235,'Test Library'!$A:$P,5,FALSE),"")</f>
        <v>Employee has no scheduled shift</v>
      </c>
      <c r="G235" s="14" t="str">
        <f>IFERROR(VLOOKUP($C235,'Test Library'!$A:$P,6,FALSE),"")</f>
        <v>Critical</v>
      </c>
      <c r="H235" s="14" t="inlineStr">
        <is>
          <t xml:space="preserve">Staging</t>
        </is>
      </c>
      <c r="I235" s="14" t="inlineStr">
        <is>
          <t xml:space="preserve">Not Run</t>
        </is>
      </c>
      <c r="J235" s="14"/>
      <c r="K235" s="17"/>
      <c r="L235" s="14"/>
      <c r="M235" s="14"/>
      <c r="N235" s="14"/>
      <c r="O235" s="14" t="inlineStr">
        <is>
          <t xml:space="preserve">Not Required</t>
        </is>
      </c>
      <c r="P235" s="14" t="str">
        <f>IFERROR(VLOOKUP($C235,'Test Library'!$A:$P,14,FALSE),"")</f>
        <v>Yes</v>
      </c>
      <c r="Q235" s="14"/>
    </row>
    <row r="236">
      <c r="A236" s="14" t="inlineStr">
        <is>
          <t xml:space="preserve">BETARUN-0236</t>
        </is>
      </c>
      <c r="B236" s="14" t="inlineStr">
        <is>
          <t xml:space="preserve">Beta Release</t>
        </is>
      </c>
      <c r="C236" s="14" t="inlineStr">
        <is>
          <t xml:space="preserve">RR-0236</t>
        </is>
      </c>
      <c r="D236" s="14" t="str">
        <f>IFERROR(VLOOKUP($C236,'Test Library'!$A:$P,2,FALSE),"")</f>
        <v>NFC Clock-in Security</v>
      </c>
      <c r="E236" s="14" t="str">
        <f>IFERROR(VLOOKUP($C236,'Test Library'!$A:$P,3,FALSE),"")</f>
        <v>Clock actions and anti-abuse</v>
      </c>
      <c r="F236" s="14" t="str">
        <f>IFERROR(VLOOKUP($C236,'Test Library'!$A:$P,5,FALSE),"")</f>
        <v>Employee clocks out normally</v>
      </c>
      <c r="G236" s="14" t="str">
        <f>IFERROR(VLOOKUP($C236,'Test Library'!$A:$P,6,FALSE),"")</f>
        <v>Critical</v>
      </c>
      <c r="H236" s="14" t="inlineStr">
        <is>
          <t xml:space="preserve">Staging</t>
        </is>
      </c>
      <c r="I236" s="14" t="inlineStr">
        <is>
          <t xml:space="preserve">Not Run</t>
        </is>
      </c>
      <c r="J236" s="14"/>
      <c r="K236" s="17"/>
      <c r="L236" s="14"/>
      <c r="M236" s="14"/>
      <c r="N236" s="14"/>
      <c r="O236" s="14" t="inlineStr">
        <is>
          <t xml:space="preserve">Not Required</t>
        </is>
      </c>
      <c r="P236" s="14" t="str">
        <f>IFERROR(VLOOKUP($C236,'Test Library'!$A:$P,14,FALSE),"")</f>
        <v>Yes</v>
      </c>
      <c r="Q236" s="14"/>
    </row>
    <row r="237">
      <c r="A237" s="14" t="inlineStr">
        <is>
          <t xml:space="preserve">BETARUN-0237</t>
        </is>
      </c>
      <c r="B237" s="14" t="inlineStr">
        <is>
          <t xml:space="preserve">Beta Release</t>
        </is>
      </c>
      <c r="C237" s="14" t="inlineStr">
        <is>
          <t xml:space="preserve">RR-0237</t>
        </is>
      </c>
      <c r="D237" s="14" t="str">
        <f>IFERROR(VLOOKUP($C237,'Test Library'!$A:$P,2,FALSE),"")</f>
        <v>NFC Clock-in Security</v>
      </c>
      <c r="E237" s="14" t="str">
        <f>IFERROR(VLOOKUP($C237,'Test Library'!$A:$P,3,FALSE),"")</f>
        <v>Clock actions and anti-abuse</v>
      </c>
      <c r="F237" s="14" t="str">
        <f>IFERROR(VLOOKUP($C237,'Test Library'!$A:$P,5,FALSE),"")</f>
        <v>Employee attempts to clock out without an active clock-in</v>
      </c>
      <c r="G237" s="14" t="str">
        <f>IFERROR(VLOOKUP($C237,'Test Library'!$A:$P,6,FALSE),"")</f>
        <v>High</v>
      </c>
      <c r="H237" s="14" t="inlineStr">
        <is>
          <t xml:space="preserve">Staging</t>
        </is>
      </c>
      <c r="I237" s="14" t="inlineStr">
        <is>
          <t xml:space="preserve">Not Run</t>
        </is>
      </c>
      <c r="J237" s="14"/>
      <c r="K237" s="17"/>
      <c r="L237" s="14"/>
      <c r="M237" s="14"/>
      <c r="N237" s="14"/>
      <c r="O237" s="14" t="inlineStr">
        <is>
          <t xml:space="preserve">Not Required</t>
        </is>
      </c>
      <c r="P237" s="14" t="str">
        <f>IFERROR(VLOOKUP($C237,'Test Library'!$A:$P,14,FALSE),"")</f>
        <v>Yes</v>
      </c>
      <c r="Q237" s="14"/>
    </row>
    <row r="238">
      <c r="A238" s="14" t="inlineStr">
        <is>
          <t xml:space="preserve">BETARUN-0238</t>
        </is>
      </c>
      <c r="B238" s="14" t="inlineStr">
        <is>
          <t xml:space="preserve">Beta Release</t>
        </is>
      </c>
      <c r="C238" s="14" t="inlineStr">
        <is>
          <t xml:space="preserve">RR-0238</t>
        </is>
      </c>
      <c r="D238" s="14" t="str">
        <f>IFERROR(VLOOKUP($C238,'Test Library'!$A:$P,2,FALSE),"")</f>
        <v>NFC Clock-in Security</v>
      </c>
      <c r="E238" s="14" t="str">
        <f>IFERROR(VLOOKUP($C238,'Test Library'!$A:$P,3,FALSE),"")</f>
        <v>Clock actions and anti-abuse</v>
      </c>
      <c r="F238" s="14" t="str">
        <f>IFERROR(VLOOKUP($C238,'Test Library'!$A:$P,5,FALSE),"")</f>
        <v>Employee forgets phone and manager performs override</v>
      </c>
      <c r="G238" s="14" t="str">
        <f>IFERROR(VLOOKUP($C238,'Test Library'!$A:$P,6,FALSE),"")</f>
        <v>Critical</v>
      </c>
      <c r="H238" s="14" t="inlineStr">
        <is>
          <t xml:space="preserve">Staging</t>
        </is>
      </c>
      <c r="I238" s="14" t="inlineStr">
        <is>
          <t xml:space="preserve">Not Run</t>
        </is>
      </c>
      <c r="J238" s="14"/>
      <c r="K238" s="17"/>
      <c r="L238" s="14"/>
      <c r="M238" s="14"/>
      <c r="N238" s="14"/>
      <c r="O238" s="14" t="inlineStr">
        <is>
          <t xml:space="preserve">Not Required</t>
        </is>
      </c>
      <c r="P238" s="14" t="str">
        <f>IFERROR(VLOOKUP($C238,'Test Library'!$A:$P,14,FALSE),"")</f>
        <v>Yes</v>
      </c>
      <c r="Q238" s="14"/>
    </row>
    <row r="239">
      <c r="A239" s="14" t="inlineStr">
        <is>
          <t xml:space="preserve">BETARUN-0239</t>
        </is>
      </c>
      <c r="B239" s="14" t="inlineStr">
        <is>
          <t xml:space="preserve">Beta Release</t>
        </is>
      </c>
      <c r="C239" s="14" t="inlineStr">
        <is>
          <t xml:space="preserve">RR-0239</t>
        </is>
      </c>
      <c r="D239" s="14" t="str">
        <f>IFERROR(VLOOKUP($C239,'Test Library'!$A:$P,2,FALSE),"")</f>
        <v>NFC Clock-in Security</v>
      </c>
      <c r="E239" s="14" t="str">
        <f>IFERROR(VLOOKUP($C239,'Test Library'!$A:$P,3,FALSE),"")</f>
        <v>Clock actions and anti-abuse</v>
      </c>
      <c r="F239" s="14" t="str">
        <f>IFERROR(VLOOKUP($C239,'Test Library'!$A:$P,5,FALSE),"")</f>
        <v>Geofence is enabled and employee is outside permitted area</v>
      </c>
      <c r="G239" s="14" t="str">
        <f>IFERROR(VLOOKUP($C239,'Test Library'!$A:$P,6,FALSE),"")</f>
        <v>High</v>
      </c>
      <c r="H239" s="14" t="inlineStr">
        <is>
          <t xml:space="preserve">Staging</t>
        </is>
      </c>
      <c r="I239" s="14" t="inlineStr">
        <is>
          <t xml:space="preserve">Not Run</t>
        </is>
      </c>
      <c r="J239" s="14"/>
      <c r="K239" s="17"/>
      <c r="L239" s="14"/>
      <c r="M239" s="14"/>
      <c r="N239" s="14"/>
      <c r="O239" s="14" t="inlineStr">
        <is>
          <t xml:space="preserve">Not Required</t>
        </is>
      </c>
      <c r="P239" s="14" t="str">
        <f>IFERROR(VLOOKUP($C239,'Test Library'!$A:$P,14,FALSE),"")</f>
        <v>Yes</v>
      </c>
      <c r="Q239" s="14"/>
    </row>
    <row r="240">
      <c r="A240" s="14" t="inlineStr">
        <is>
          <t xml:space="preserve">BETARUN-0240</t>
        </is>
      </c>
      <c r="B240" s="14" t="inlineStr">
        <is>
          <t xml:space="preserve">Beta Release</t>
        </is>
      </c>
      <c r="C240" s="14" t="inlineStr">
        <is>
          <t xml:space="preserve">RR-0240</t>
        </is>
      </c>
      <c r="D240" s="14" t="str">
        <f>IFERROR(VLOOKUP($C240,'Test Library'!$A:$P,2,FALSE),"")</f>
        <v>NFC Clock-in Security</v>
      </c>
      <c r="E240" s="14" t="str">
        <f>IFERROR(VLOOKUP($C240,'Test Library'!$A:$P,3,FALSE),"")</f>
        <v>Clock actions and anti-abuse</v>
      </c>
      <c r="F240" s="14" t="str">
        <f>IFERROR(VLOOKUP($C240,'Test Library'!$A:$P,5,FALSE),"")</f>
        <v>Browser refreshes after successful clock-in</v>
      </c>
      <c r="G240" s="14" t="str">
        <f>IFERROR(VLOOKUP($C240,'Test Library'!$A:$P,6,FALSE),"")</f>
        <v>High</v>
      </c>
      <c r="H240" s="14" t="inlineStr">
        <is>
          <t xml:space="preserve">Staging</t>
        </is>
      </c>
      <c r="I240" s="14" t="inlineStr">
        <is>
          <t xml:space="preserve">Not Run</t>
        </is>
      </c>
      <c r="J240" s="14"/>
      <c r="K240" s="17"/>
      <c r="L240" s="14"/>
      <c r="M240" s="14"/>
      <c r="N240" s="14"/>
      <c r="O240" s="14" t="inlineStr">
        <is>
          <t xml:space="preserve">Not Required</t>
        </is>
      </c>
      <c r="P240" s="14" t="str">
        <f>IFERROR(VLOOKUP($C240,'Test Library'!$A:$P,14,FALSE),"")</f>
        <v>Yes</v>
      </c>
      <c r="Q240" s="14"/>
    </row>
    <row r="241">
      <c r="A241" s="14" t="inlineStr">
        <is>
          <t xml:space="preserve">BETARUN-0241</t>
        </is>
      </c>
      <c r="B241" s="14" t="inlineStr">
        <is>
          <t xml:space="preserve">Beta Release</t>
        </is>
      </c>
      <c r="C241" s="14" t="inlineStr">
        <is>
          <t xml:space="preserve">RR-0241</t>
        </is>
      </c>
      <c r="D241" s="14" t="str">
        <f>IFERROR(VLOOKUP($C241,'Test Library'!$A:$P,2,FALSE),"")</f>
        <v>Timesheets</v>
      </c>
      <c r="E241" s="14" t="str">
        <f>IFERROR(VLOOKUP($C241,'Test Library'!$A:$P,3,FALSE),"")</f>
        <v>Attendance calculation and review</v>
      </c>
      <c r="F241" s="14" t="str">
        <f>IFERROR(VLOOKUP($C241,'Test Library'!$A:$P,5,FALSE),"")</f>
        <v>Generate timesheet from scheduled and actual clock records</v>
      </c>
      <c r="G241" s="14" t="str">
        <f>IFERROR(VLOOKUP($C241,'Test Library'!$A:$P,6,FALSE),"")</f>
        <v>Critical</v>
      </c>
      <c r="H241" s="14" t="inlineStr">
        <is>
          <t xml:space="preserve">Staging</t>
        </is>
      </c>
      <c r="I241" s="14" t="inlineStr">
        <is>
          <t xml:space="preserve">Not Run</t>
        </is>
      </c>
      <c r="J241" s="14"/>
      <c r="K241" s="17"/>
      <c r="L241" s="14"/>
      <c r="M241" s="14"/>
      <c r="N241" s="14"/>
      <c r="O241" s="14" t="inlineStr">
        <is>
          <t xml:space="preserve">Not Required</t>
        </is>
      </c>
      <c r="P241" s="14" t="str">
        <f>IFERROR(VLOOKUP($C241,'Test Library'!$A:$P,14,FALSE),"")</f>
        <v>Yes</v>
      </c>
      <c r="Q241" s="14"/>
    </row>
    <row r="242">
      <c r="A242" s="14" t="inlineStr">
        <is>
          <t xml:space="preserve">BETARUN-0242</t>
        </is>
      </c>
      <c r="B242" s="14" t="inlineStr">
        <is>
          <t xml:space="preserve">Beta Release</t>
        </is>
      </c>
      <c r="C242" s="14" t="inlineStr">
        <is>
          <t xml:space="preserve">RR-0242</t>
        </is>
      </c>
      <c r="D242" s="14" t="str">
        <f>IFERROR(VLOOKUP($C242,'Test Library'!$A:$P,2,FALSE),"")</f>
        <v>Timesheets</v>
      </c>
      <c r="E242" s="14" t="str">
        <f>IFERROR(VLOOKUP($C242,'Test Library'!$A:$P,3,FALSE),"")</f>
        <v>Attendance calculation and review</v>
      </c>
      <c r="F242" s="14" t="str">
        <f>IFERROR(VLOOKUP($C242,'Test Library'!$A:$P,5,FALSE),"")</f>
        <v>Employee clocks in early and out on time</v>
      </c>
      <c r="G242" s="14" t="str">
        <f>IFERROR(VLOOKUP($C242,'Test Library'!$A:$P,6,FALSE),"")</f>
        <v>High</v>
      </c>
      <c r="H242" s="14" t="inlineStr">
        <is>
          <t xml:space="preserve">Staging</t>
        </is>
      </c>
      <c r="I242" s="14" t="inlineStr">
        <is>
          <t xml:space="preserve">Not Run</t>
        </is>
      </c>
      <c r="J242" s="14"/>
      <c r="K242" s="17"/>
      <c r="L242" s="14"/>
      <c r="M242" s="14"/>
      <c r="N242" s="14"/>
      <c r="O242" s="14" t="inlineStr">
        <is>
          <t xml:space="preserve">Not Required</t>
        </is>
      </c>
      <c r="P242" s="14" t="str">
        <f>IFERROR(VLOOKUP($C242,'Test Library'!$A:$P,14,FALSE),"")</f>
        <v>Yes</v>
      </c>
      <c r="Q242" s="14"/>
    </row>
    <row r="243">
      <c r="A243" s="14" t="inlineStr">
        <is>
          <t xml:space="preserve">BETARUN-0243</t>
        </is>
      </c>
      <c r="B243" s="14" t="inlineStr">
        <is>
          <t xml:space="preserve">Beta Release</t>
        </is>
      </c>
      <c r="C243" s="14" t="inlineStr">
        <is>
          <t xml:space="preserve">RR-0243</t>
        </is>
      </c>
      <c r="D243" s="14" t="str">
        <f>IFERROR(VLOOKUP($C243,'Test Library'!$A:$P,2,FALSE),"")</f>
        <v>Timesheets</v>
      </c>
      <c r="E243" s="14" t="str">
        <f>IFERROR(VLOOKUP($C243,'Test Library'!$A:$P,3,FALSE),"")</f>
        <v>Attendance calculation and review</v>
      </c>
      <c r="F243" s="14" t="str">
        <f>IFERROR(VLOOKUP($C243,'Test Library'!$A:$P,5,FALSE),"")</f>
        <v>Employee clocks in late</v>
      </c>
      <c r="G243" s="14" t="str">
        <f>IFERROR(VLOOKUP($C243,'Test Library'!$A:$P,6,FALSE),"")</f>
        <v>High</v>
      </c>
      <c r="H243" s="14" t="inlineStr">
        <is>
          <t xml:space="preserve">Staging</t>
        </is>
      </c>
      <c r="I243" s="14" t="inlineStr">
        <is>
          <t xml:space="preserve">Not Run</t>
        </is>
      </c>
      <c r="J243" s="14"/>
      <c r="K243" s="17"/>
      <c r="L243" s="14"/>
      <c r="M243" s="14"/>
      <c r="N243" s="14"/>
      <c r="O243" s="14" t="inlineStr">
        <is>
          <t xml:space="preserve">Not Required</t>
        </is>
      </c>
      <c r="P243" s="14" t="str">
        <f>IFERROR(VLOOKUP($C243,'Test Library'!$A:$P,14,FALSE),"")</f>
        <v>Yes</v>
      </c>
      <c r="Q243" s="14"/>
    </row>
    <row r="244">
      <c r="A244" s="14" t="inlineStr">
        <is>
          <t xml:space="preserve">BETARUN-0244</t>
        </is>
      </c>
      <c r="B244" s="14" t="inlineStr">
        <is>
          <t xml:space="preserve">Beta Release</t>
        </is>
      </c>
      <c r="C244" s="14" t="inlineStr">
        <is>
          <t xml:space="preserve">RR-0244</t>
        </is>
      </c>
      <c r="D244" s="14" t="str">
        <f>IFERROR(VLOOKUP($C244,'Test Library'!$A:$P,2,FALSE),"")</f>
        <v>Timesheets</v>
      </c>
      <c r="E244" s="14" t="str">
        <f>IFERROR(VLOOKUP($C244,'Test Library'!$A:$P,3,FALSE),"")</f>
        <v>Attendance calculation and review</v>
      </c>
      <c r="F244" s="14" t="str">
        <f>IFERROR(VLOOKUP($C244,'Test Library'!$A:$P,5,FALSE),"")</f>
        <v>Employee forgets to clock out</v>
      </c>
      <c r="G244" s="14" t="str">
        <f>IFERROR(VLOOKUP($C244,'Test Library'!$A:$P,6,FALSE),"")</f>
        <v>Critical</v>
      </c>
      <c r="H244" s="14" t="inlineStr">
        <is>
          <t xml:space="preserve">Staging</t>
        </is>
      </c>
      <c r="I244" s="14" t="inlineStr">
        <is>
          <t xml:space="preserve">Not Run</t>
        </is>
      </c>
      <c r="J244" s="14"/>
      <c r="K244" s="17"/>
      <c r="L244" s="14"/>
      <c r="M244" s="14"/>
      <c r="N244" s="14"/>
      <c r="O244" s="14" t="inlineStr">
        <is>
          <t xml:space="preserve">Not Required</t>
        </is>
      </c>
      <c r="P244" s="14" t="str">
        <f>IFERROR(VLOOKUP($C244,'Test Library'!$A:$P,14,FALSE),"")</f>
        <v>Yes</v>
      </c>
      <c r="Q244" s="14"/>
    </row>
    <row r="245">
      <c r="A245" s="14" t="inlineStr">
        <is>
          <t xml:space="preserve">BETARUN-0245</t>
        </is>
      </c>
      <c r="B245" s="14" t="inlineStr">
        <is>
          <t xml:space="preserve">Beta Release</t>
        </is>
      </c>
      <c r="C245" s="14" t="inlineStr">
        <is>
          <t xml:space="preserve">RR-0245</t>
        </is>
      </c>
      <c r="D245" s="14" t="str">
        <f>IFERROR(VLOOKUP($C245,'Test Library'!$A:$P,2,FALSE),"")</f>
        <v>Timesheets</v>
      </c>
      <c r="E245" s="14" t="str">
        <f>IFERROR(VLOOKUP($C245,'Test Library'!$A:$P,3,FALSE),"")</f>
        <v>Attendance calculation and review</v>
      </c>
      <c r="F245" s="14" t="str">
        <f>IFERROR(VLOOKUP($C245,'Test Library'!$A:$P,5,FALSE),"")</f>
        <v>Overnight shift crosses pay-period boundary</v>
      </c>
      <c r="G245" s="14" t="str">
        <f>IFERROR(VLOOKUP($C245,'Test Library'!$A:$P,6,FALSE),"")</f>
        <v>Critical</v>
      </c>
      <c r="H245" s="14" t="inlineStr">
        <is>
          <t xml:space="preserve">Staging</t>
        </is>
      </c>
      <c r="I245" s="14" t="inlineStr">
        <is>
          <t xml:space="preserve">Not Run</t>
        </is>
      </c>
      <c r="J245" s="14"/>
      <c r="K245" s="17"/>
      <c r="L245" s="14"/>
      <c r="M245" s="14"/>
      <c r="N245" s="14"/>
      <c r="O245" s="14" t="inlineStr">
        <is>
          <t xml:space="preserve">Not Required</t>
        </is>
      </c>
      <c r="P245" s="14" t="str">
        <f>IFERROR(VLOOKUP($C245,'Test Library'!$A:$P,14,FALSE),"")</f>
        <v>Yes</v>
      </c>
      <c r="Q245" s="14"/>
    </row>
    <row r="246">
      <c r="A246" s="14" t="inlineStr">
        <is>
          <t xml:space="preserve">BETARUN-0246</t>
        </is>
      </c>
      <c r="B246" s="14" t="inlineStr">
        <is>
          <t xml:space="preserve">Beta Release</t>
        </is>
      </c>
      <c r="C246" s="14" t="inlineStr">
        <is>
          <t xml:space="preserve">RR-0246</t>
        </is>
      </c>
      <c r="D246" s="14" t="str">
        <f>IFERROR(VLOOKUP($C246,'Test Library'!$A:$P,2,FALSE),"")</f>
        <v>Timesheets</v>
      </c>
      <c r="E246" s="14" t="str">
        <f>IFERROR(VLOOKUP($C246,'Test Library'!$A:$P,3,FALSE),"")</f>
        <v>Attendance calculation and review</v>
      </c>
      <c r="F246" s="14" t="str">
        <f>IFERROR(VLOOKUP($C246,'Test Library'!$A:$P,5,FALSE),"")</f>
        <v>Split shift has two attendance segments</v>
      </c>
      <c r="G246" s="14" t="str">
        <f>IFERROR(VLOOKUP($C246,'Test Library'!$A:$P,6,FALSE),"")</f>
        <v>High</v>
      </c>
      <c r="H246" s="14" t="inlineStr">
        <is>
          <t xml:space="preserve">Staging</t>
        </is>
      </c>
      <c r="I246" s="14" t="inlineStr">
        <is>
          <t xml:space="preserve">Not Run</t>
        </is>
      </c>
      <c r="J246" s="14"/>
      <c r="K246" s="17"/>
      <c r="L246" s="14"/>
      <c r="M246" s="14"/>
      <c r="N246" s="14"/>
      <c r="O246" s="14" t="inlineStr">
        <is>
          <t xml:space="preserve">Not Required</t>
        </is>
      </c>
      <c r="P246" s="14" t="str">
        <f>IFERROR(VLOOKUP($C246,'Test Library'!$A:$P,14,FALSE),"")</f>
        <v>Yes</v>
      </c>
      <c r="Q246" s="14"/>
    </row>
    <row r="247">
      <c r="A247" s="14" t="inlineStr">
        <is>
          <t xml:space="preserve">BETARUN-0247</t>
        </is>
      </c>
      <c r="B247" s="14" t="inlineStr">
        <is>
          <t xml:space="preserve">Beta Release</t>
        </is>
      </c>
      <c r="C247" s="14" t="inlineStr">
        <is>
          <t xml:space="preserve">RR-0247</t>
        </is>
      </c>
      <c r="D247" s="14" t="str">
        <f>IFERROR(VLOOKUP($C247,'Test Library'!$A:$P,2,FALSE),"")</f>
        <v>Timesheets</v>
      </c>
      <c r="E247" s="14" t="str">
        <f>IFERROR(VLOOKUP($C247,'Test Library'!$A:$P,3,FALSE),"")</f>
        <v>Attendance calculation and review</v>
      </c>
      <c r="F247" s="14" t="str">
        <f>IFERROR(VLOOKUP($C247,'Test Library'!$A:$P,5,FALSE),"")</f>
        <v>Unscheduled clock-in exists</v>
      </c>
      <c r="G247" s="14" t="str">
        <f>IFERROR(VLOOKUP($C247,'Test Library'!$A:$P,6,FALSE),"")</f>
        <v>Critical</v>
      </c>
      <c r="H247" s="14" t="inlineStr">
        <is>
          <t xml:space="preserve">Staging</t>
        </is>
      </c>
      <c r="I247" s="14" t="inlineStr">
        <is>
          <t xml:space="preserve">Not Run</t>
        </is>
      </c>
      <c r="J247" s="14"/>
      <c r="K247" s="17"/>
      <c r="L247" s="14"/>
      <c r="M247" s="14"/>
      <c r="N247" s="14"/>
      <c r="O247" s="14" t="inlineStr">
        <is>
          <t xml:space="preserve">Not Required</t>
        </is>
      </c>
      <c r="P247" s="14" t="str">
        <f>IFERROR(VLOOKUP($C247,'Test Library'!$A:$P,14,FALSE),"")</f>
        <v>Yes</v>
      </c>
      <c r="Q247" s="14"/>
    </row>
    <row r="248">
      <c r="A248" s="14" t="inlineStr">
        <is>
          <t xml:space="preserve">BETARUN-0248</t>
        </is>
      </c>
      <c r="B248" s="14" t="inlineStr">
        <is>
          <t xml:space="preserve">Beta Release</t>
        </is>
      </c>
      <c r="C248" s="14" t="inlineStr">
        <is>
          <t xml:space="preserve">RR-0248</t>
        </is>
      </c>
      <c r="D248" s="14" t="str">
        <f>IFERROR(VLOOKUP($C248,'Test Library'!$A:$P,2,FALSE),"")</f>
        <v>Timesheets</v>
      </c>
      <c r="E248" s="14" t="str">
        <f>IFERROR(VLOOKUP($C248,'Test Library'!$A:$P,3,FALSE),"")</f>
        <v>Attendance calculation and review</v>
      </c>
      <c r="F248" s="14" t="str">
        <f>IFERROR(VLOOKUP($C248,'Test Library'!$A:$P,5,FALSE),"")</f>
        <v>Manager edits clock-in/out time</v>
      </c>
      <c r="G248" s="14" t="str">
        <f>IFERROR(VLOOKUP($C248,'Test Library'!$A:$P,6,FALSE),"")</f>
        <v>Critical</v>
      </c>
      <c r="H248" s="14" t="inlineStr">
        <is>
          <t xml:space="preserve">Staging</t>
        </is>
      </c>
      <c r="I248" s="14" t="inlineStr">
        <is>
          <t xml:space="preserve">Not Run</t>
        </is>
      </c>
      <c r="J248" s="14"/>
      <c r="K248" s="17"/>
      <c r="L248" s="14"/>
      <c r="M248" s="14"/>
      <c r="N248" s="14"/>
      <c r="O248" s="14" t="inlineStr">
        <is>
          <t xml:space="preserve">Not Required</t>
        </is>
      </c>
      <c r="P248" s="14" t="str">
        <f>IFERROR(VLOOKUP($C248,'Test Library'!$A:$P,14,FALSE),"")</f>
        <v>Yes</v>
      </c>
      <c r="Q248" s="14"/>
    </row>
    <row r="249">
      <c r="A249" s="14" t="inlineStr">
        <is>
          <t xml:space="preserve">BETARUN-0249</t>
        </is>
      </c>
      <c r="B249" s="14" t="inlineStr">
        <is>
          <t xml:space="preserve">Beta Release</t>
        </is>
      </c>
      <c r="C249" s="14" t="inlineStr">
        <is>
          <t xml:space="preserve">RR-0249</t>
        </is>
      </c>
      <c r="D249" s="14" t="str">
        <f>IFERROR(VLOOKUP($C249,'Test Library'!$A:$P,2,FALSE),"")</f>
        <v>Timesheets</v>
      </c>
      <c r="E249" s="14" t="str">
        <f>IFERROR(VLOOKUP($C249,'Test Library'!$A:$P,3,FALSE),"")</f>
        <v>Attendance calculation and review</v>
      </c>
      <c r="F249" s="14" t="str">
        <f>IFERROR(VLOOKUP($C249,'Test Library'!$A:$P,5,FALSE),"")</f>
        <v>Manager adds a missing attendance record</v>
      </c>
      <c r="G249" s="14" t="str">
        <f>IFERROR(VLOOKUP($C249,'Test Library'!$A:$P,6,FALSE),"")</f>
        <v>Critical</v>
      </c>
      <c r="H249" s="14" t="inlineStr">
        <is>
          <t xml:space="preserve">Staging</t>
        </is>
      </c>
      <c r="I249" s="14" t="inlineStr">
        <is>
          <t xml:space="preserve">Not Run</t>
        </is>
      </c>
      <c r="J249" s="14"/>
      <c r="K249" s="17"/>
      <c r="L249" s="14"/>
      <c r="M249" s="14"/>
      <c r="N249" s="14"/>
      <c r="O249" s="14" t="inlineStr">
        <is>
          <t xml:space="preserve">Not Required</t>
        </is>
      </c>
      <c r="P249" s="14" t="str">
        <f>IFERROR(VLOOKUP($C249,'Test Library'!$A:$P,14,FALSE),"")</f>
        <v>Yes</v>
      </c>
      <c r="Q249" s="14"/>
    </row>
    <row r="250">
      <c r="A250" s="14" t="inlineStr">
        <is>
          <t xml:space="preserve">BETARUN-0250</t>
        </is>
      </c>
      <c r="B250" s="14" t="inlineStr">
        <is>
          <t xml:space="preserve">Beta Release</t>
        </is>
      </c>
      <c r="C250" s="14" t="inlineStr">
        <is>
          <t xml:space="preserve">RR-0250</t>
        </is>
      </c>
      <c r="D250" s="14" t="str">
        <f>IFERROR(VLOOKUP($C250,'Test Library'!$A:$P,2,FALSE),"")</f>
        <v>Timesheets</v>
      </c>
      <c r="E250" s="14" t="str">
        <f>IFERROR(VLOOKUP($C250,'Test Library'!$A:$P,3,FALSE),"")</f>
        <v>Attendance calculation and review</v>
      </c>
      <c r="F250" s="14" t="str">
        <f>IFERROR(VLOOKUP($C250,'Test Library'!$A:$P,5,FALSE),"")</f>
        <v>Manager deletes/voids an invalid clock record</v>
      </c>
      <c r="G250" s="14" t="str">
        <f>IFERROR(VLOOKUP($C250,'Test Library'!$A:$P,6,FALSE),"")</f>
        <v>Critical</v>
      </c>
      <c r="H250" s="14" t="inlineStr">
        <is>
          <t xml:space="preserve">Staging</t>
        </is>
      </c>
      <c r="I250" s="14" t="inlineStr">
        <is>
          <t xml:space="preserve">Not Run</t>
        </is>
      </c>
      <c r="J250" s="14"/>
      <c r="K250" s="17"/>
      <c r="L250" s="14"/>
      <c r="M250" s="14"/>
      <c r="N250" s="14"/>
      <c r="O250" s="14" t="inlineStr">
        <is>
          <t xml:space="preserve">Not Required</t>
        </is>
      </c>
      <c r="P250" s="14" t="str">
        <f>IFERROR(VLOOKUP($C250,'Test Library'!$A:$P,14,FALSE),"")</f>
        <v>Yes</v>
      </c>
      <c r="Q250" s="14"/>
    </row>
    <row r="251">
      <c r="A251" s="14" t="inlineStr">
        <is>
          <t xml:space="preserve">BETARUN-0251</t>
        </is>
      </c>
      <c r="B251" s="14" t="inlineStr">
        <is>
          <t xml:space="preserve">Beta Release</t>
        </is>
      </c>
      <c r="C251" s="14" t="inlineStr">
        <is>
          <t xml:space="preserve">RR-0251</t>
        </is>
      </c>
      <c r="D251" s="14" t="str">
        <f>IFERROR(VLOOKUP($C251,'Test Library'!$A:$P,2,FALSE),"")</f>
        <v>Timesheets</v>
      </c>
      <c r="E251" s="14" t="str">
        <f>IFERROR(VLOOKUP($C251,'Test Library'!$A:$P,3,FALSE),"")</f>
        <v>Attendance calculation and review</v>
      </c>
      <c r="F251" s="14" t="str">
        <f>IFERROR(VLOOKUP($C251,'Test Library'!$A:$P,5,FALSE),"")</f>
        <v>Approve an individual timesheet</v>
      </c>
      <c r="G251" s="14" t="str">
        <f>IFERROR(VLOOKUP($C251,'Test Library'!$A:$P,6,FALSE),"")</f>
        <v>Critical</v>
      </c>
      <c r="H251" s="14" t="inlineStr">
        <is>
          <t xml:space="preserve">Staging</t>
        </is>
      </c>
      <c r="I251" s="14" t="inlineStr">
        <is>
          <t xml:space="preserve">Not Run</t>
        </is>
      </c>
      <c r="J251" s="14"/>
      <c r="K251" s="17"/>
      <c r="L251" s="14"/>
      <c r="M251" s="14"/>
      <c r="N251" s="14"/>
      <c r="O251" s="14" t="inlineStr">
        <is>
          <t xml:space="preserve">Not Required</t>
        </is>
      </c>
      <c r="P251" s="14" t="str">
        <f>IFERROR(VLOOKUP($C251,'Test Library'!$A:$P,14,FALSE),"")</f>
        <v>Yes</v>
      </c>
      <c r="Q251" s="14"/>
    </row>
    <row r="252">
      <c r="A252" s="14" t="inlineStr">
        <is>
          <t xml:space="preserve">BETARUN-0252</t>
        </is>
      </c>
      <c r="B252" s="14" t="inlineStr">
        <is>
          <t xml:space="preserve">Beta Release</t>
        </is>
      </c>
      <c r="C252" s="14" t="inlineStr">
        <is>
          <t xml:space="preserve">RR-0252</t>
        </is>
      </c>
      <c r="D252" s="14" t="str">
        <f>IFERROR(VLOOKUP($C252,'Test Library'!$A:$P,2,FALSE),"")</f>
        <v>Timesheets</v>
      </c>
      <c r="E252" s="14" t="str">
        <f>IFERROR(VLOOKUP($C252,'Test Library'!$A:$P,3,FALSE),"")</f>
        <v>Attendance calculation and review</v>
      </c>
      <c r="F252" s="14" t="str">
        <f>IFERROR(VLOOKUP($C252,'Test Library'!$A:$P,5,FALSE),"")</f>
        <v>Approve a whole location/week</v>
      </c>
      <c r="G252" s="14" t="str">
        <f>IFERROR(VLOOKUP($C252,'Test Library'!$A:$P,6,FALSE),"")</f>
        <v>High</v>
      </c>
      <c r="H252" s="14" t="inlineStr">
        <is>
          <t xml:space="preserve">Staging</t>
        </is>
      </c>
      <c r="I252" s="14" t="inlineStr">
        <is>
          <t xml:space="preserve">Not Run</t>
        </is>
      </c>
      <c r="J252" s="14"/>
      <c r="K252" s="17"/>
      <c r="L252" s="14"/>
      <c r="M252" s="14"/>
      <c r="N252" s="14"/>
      <c r="O252" s="14" t="inlineStr">
        <is>
          <t xml:space="preserve">Not Required</t>
        </is>
      </c>
      <c r="P252" s="14" t="str">
        <f>IFERROR(VLOOKUP($C252,'Test Library'!$A:$P,14,FALSE),"")</f>
        <v>Yes</v>
      </c>
      <c r="Q252" s="14"/>
    </row>
    <row r="253">
      <c r="A253" s="14" t="inlineStr">
        <is>
          <t xml:space="preserve">BETARUN-0253</t>
        </is>
      </c>
      <c r="B253" s="14" t="inlineStr">
        <is>
          <t xml:space="preserve">Beta Release</t>
        </is>
      </c>
      <c r="C253" s="14" t="inlineStr">
        <is>
          <t xml:space="preserve">RR-0253</t>
        </is>
      </c>
      <c r="D253" s="14" t="str">
        <f>IFERROR(VLOOKUP($C253,'Test Library'!$A:$P,2,FALSE),"")</f>
        <v>Timesheets</v>
      </c>
      <c r="E253" s="14" t="str">
        <f>IFERROR(VLOOKUP($C253,'Test Library'!$A:$P,3,FALSE),"")</f>
        <v>Attendance calculation and review</v>
      </c>
      <c r="F253" s="14" t="str">
        <f>IFERROR(VLOOKUP($C253,'Test Library'!$A:$P,5,FALSE),"")</f>
        <v>Edit an approved timesheet</v>
      </c>
      <c r="G253" s="14" t="str">
        <f>IFERROR(VLOOKUP($C253,'Test Library'!$A:$P,6,FALSE),"")</f>
        <v>Critical</v>
      </c>
      <c r="H253" s="14" t="inlineStr">
        <is>
          <t xml:space="preserve">Staging</t>
        </is>
      </c>
      <c r="I253" s="14" t="inlineStr">
        <is>
          <t xml:space="preserve">Not Run</t>
        </is>
      </c>
      <c r="J253" s="14"/>
      <c r="K253" s="17"/>
      <c r="L253" s="14"/>
      <c r="M253" s="14"/>
      <c r="N253" s="14"/>
      <c r="O253" s="14" t="inlineStr">
        <is>
          <t xml:space="preserve">Not Required</t>
        </is>
      </c>
      <c r="P253" s="14" t="str">
        <f>IFERROR(VLOOKUP($C253,'Test Library'!$A:$P,14,FALSE),"")</f>
        <v>Yes</v>
      </c>
      <c r="Q253" s="14"/>
    </row>
    <row r="254">
      <c r="A254" s="14" t="inlineStr">
        <is>
          <t xml:space="preserve">BETARUN-0254</t>
        </is>
      </c>
      <c r="B254" s="14" t="inlineStr">
        <is>
          <t xml:space="preserve">Beta Release</t>
        </is>
      </c>
      <c r="C254" s="14" t="inlineStr">
        <is>
          <t xml:space="preserve">RR-0254</t>
        </is>
      </c>
      <c r="D254" s="14" t="str">
        <f>IFERROR(VLOOKUP($C254,'Test Library'!$A:$P,2,FALSE),"")</f>
        <v>Timesheets</v>
      </c>
      <c r="E254" s="14" t="str">
        <f>IFERROR(VLOOKUP($C254,'Test Library'!$A:$P,3,FALSE),"")</f>
        <v>Attendance calculation and review</v>
      </c>
      <c r="F254" s="14" t="str">
        <f>IFERROR(VLOOKUP($C254,'Test Library'!$A:$P,5,FALSE),"")</f>
        <v>Employee views own timesheet</v>
      </c>
      <c r="G254" s="14" t="str">
        <f>IFERROR(VLOOKUP($C254,'Test Library'!$A:$P,6,FALSE),"")</f>
        <v>Critical</v>
      </c>
      <c r="H254" s="14" t="inlineStr">
        <is>
          <t xml:space="preserve">Staging</t>
        </is>
      </c>
      <c r="I254" s="14" t="inlineStr">
        <is>
          <t xml:space="preserve">Not Run</t>
        </is>
      </c>
      <c r="J254" s="14"/>
      <c r="K254" s="17"/>
      <c r="L254" s="14"/>
      <c r="M254" s="14"/>
      <c r="N254" s="14"/>
      <c r="O254" s="14" t="inlineStr">
        <is>
          <t xml:space="preserve">Not Required</t>
        </is>
      </c>
      <c r="P254" s="14" t="str">
        <f>IFERROR(VLOOKUP($C254,'Test Library'!$A:$P,14,FALSE),"")</f>
        <v>Yes</v>
      </c>
      <c r="Q254" s="14"/>
    </row>
    <row r="255">
      <c r="A255" s="14" t="inlineStr">
        <is>
          <t xml:space="preserve">BETARUN-0255</t>
        </is>
      </c>
      <c r="B255" s="14" t="inlineStr">
        <is>
          <t xml:space="preserve">Beta Release</t>
        </is>
      </c>
      <c r="C255" s="14" t="inlineStr">
        <is>
          <t xml:space="preserve">RR-0255</t>
        </is>
      </c>
      <c r="D255" s="14" t="str">
        <f>IFERROR(VLOOKUP($C255,'Test Library'!$A:$P,2,FALSE),"")</f>
        <v>Timesheets</v>
      </c>
      <c r="E255" s="14" t="str">
        <f>IFERROR(VLOOKUP($C255,'Test Library'!$A:$P,3,FALSE),"")</f>
        <v>Attendance calculation and review</v>
      </c>
      <c r="F255" s="14" t="str">
        <f>IFERROR(VLOOKUP($C255,'Test Library'!$A:$P,5,FALSE),"")</f>
        <v>Employee attempts to view another employee's timesheet</v>
      </c>
      <c r="G255" s="14" t="str">
        <f>IFERROR(VLOOKUP($C255,'Test Library'!$A:$P,6,FALSE),"")</f>
        <v>Critical</v>
      </c>
      <c r="H255" s="14" t="inlineStr">
        <is>
          <t xml:space="preserve">Staging</t>
        </is>
      </c>
      <c r="I255" s="14" t="inlineStr">
        <is>
          <t xml:space="preserve">Not Run</t>
        </is>
      </c>
      <c r="J255" s="14"/>
      <c r="K255" s="17"/>
      <c r="L255" s="14"/>
      <c r="M255" s="14"/>
      <c r="N255" s="14"/>
      <c r="O255" s="14" t="inlineStr">
        <is>
          <t xml:space="preserve">Not Required</t>
        </is>
      </c>
      <c r="P255" s="14" t="str">
        <f>IFERROR(VLOOKUP($C255,'Test Library'!$A:$P,14,FALSE),"")</f>
        <v>Yes</v>
      </c>
      <c r="Q255" s="14"/>
    </row>
    <row r="256">
      <c r="A256" s="14" t="inlineStr">
        <is>
          <t xml:space="preserve">BETARUN-0256</t>
        </is>
      </c>
      <c r="B256" s="14" t="inlineStr">
        <is>
          <t xml:space="preserve">Beta Release</t>
        </is>
      </c>
      <c r="C256" s="14" t="inlineStr">
        <is>
          <t xml:space="preserve">RR-0256</t>
        </is>
      </c>
      <c r="D256" s="14" t="str">
        <f>IFERROR(VLOOKUP($C256,'Test Library'!$A:$P,2,FALSE),"")</f>
        <v>Timesheets</v>
      </c>
      <c r="E256" s="14" t="str">
        <f>IFERROR(VLOOKUP($C256,'Test Library'!$A:$P,3,FALSE),"")</f>
        <v>Attendance calculation and review</v>
      </c>
      <c r="F256" s="14" t="str">
        <f>IFERROR(VLOOKUP($C256,'Test Library'!$A:$P,5,FALSE),"")</f>
        <v>Switch timesheet week</v>
      </c>
      <c r="G256" s="14" t="str">
        <f>IFERROR(VLOOKUP($C256,'Test Library'!$A:$P,6,FALSE),"")</f>
        <v>High</v>
      </c>
      <c r="H256" s="14" t="inlineStr">
        <is>
          <t xml:space="preserve">Staging</t>
        </is>
      </c>
      <c r="I256" s="14" t="inlineStr">
        <is>
          <t xml:space="preserve">Not Run</t>
        </is>
      </c>
      <c r="J256" s="14"/>
      <c r="K256" s="17"/>
      <c r="L256" s="14"/>
      <c r="M256" s="14"/>
      <c r="N256" s="14"/>
      <c r="O256" s="14" t="inlineStr">
        <is>
          <t xml:space="preserve">Not Required</t>
        </is>
      </c>
      <c r="P256" s="14" t="str">
        <f>IFERROR(VLOOKUP($C256,'Test Library'!$A:$P,14,FALSE),"")</f>
        <v>Yes</v>
      </c>
      <c r="Q256" s="14"/>
    </row>
    <row r="257">
      <c r="A257" s="14" t="inlineStr">
        <is>
          <t xml:space="preserve">BETARUN-0257</t>
        </is>
      </c>
      <c r="B257" s="14" t="inlineStr">
        <is>
          <t xml:space="preserve">Beta Release</t>
        </is>
      </c>
      <c r="C257" s="14" t="inlineStr">
        <is>
          <t xml:space="preserve">RR-0257</t>
        </is>
      </c>
      <c r="D257" s="14" t="str">
        <f>IFERROR(VLOOKUP($C257,'Test Library'!$A:$P,2,FALSE),"")</f>
        <v>Timesheets</v>
      </c>
      <c r="E257" s="14" t="str">
        <f>IFERROR(VLOOKUP($C257,'Test Library'!$A:$P,3,FALSE),"")</f>
        <v>Attendance calculation and review</v>
      </c>
      <c r="F257" s="14" t="str">
        <f>IFERROR(VLOOKUP($C257,'Test Library'!$A:$P,5,FALSE),"")</f>
        <v>Calculate estimated pay</v>
      </c>
      <c r="G257" s="14" t="str">
        <f>IFERROR(VLOOKUP($C257,'Test Library'!$A:$P,6,FALSE),"")</f>
        <v>High</v>
      </c>
      <c r="H257" s="14" t="inlineStr">
        <is>
          <t xml:space="preserve">Staging</t>
        </is>
      </c>
      <c r="I257" s="14" t="inlineStr">
        <is>
          <t xml:space="preserve">Not Run</t>
        </is>
      </c>
      <c r="J257" s="14"/>
      <c r="K257" s="17"/>
      <c r="L257" s="14"/>
      <c r="M257" s="14"/>
      <c r="N257" s="14"/>
      <c r="O257" s="14" t="inlineStr">
        <is>
          <t xml:space="preserve">Not Required</t>
        </is>
      </c>
      <c r="P257" s="14" t="str">
        <f>IFERROR(VLOOKUP($C257,'Test Library'!$A:$P,14,FALSE),"")</f>
        <v>Yes</v>
      </c>
      <c r="Q257" s="14"/>
    </row>
    <row r="258">
      <c r="A258" s="14" t="inlineStr">
        <is>
          <t xml:space="preserve">BETARUN-0258</t>
        </is>
      </c>
      <c r="B258" s="14" t="inlineStr">
        <is>
          <t xml:space="preserve">Beta Release</t>
        </is>
      </c>
      <c r="C258" s="14" t="inlineStr">
        <is>
          <t xml:space="preserve">RR-0258</t>
        </is>
      </c>
      <c r="D258" s="14" t="str">
        <f>IFERROR(VLOOKUP($C258,'Test Library'!$A:$P,2,FALSE),"")</f>
        <v>Timesheets</v>
      </c>
      <c r="E258" s="14" t="str">
        <f>IFERROR(VLOOKUP($C258,'Test Library'!$A:$P,3,FALSE),"")</f>
        <v>Attendance calculation and review</v>
      </c>
      <c r="F258" s="14" t="str">
        <f>IFERROR(VLOOKUP($C258,'Test Library'!$A:$P,5,FALSE),"")</f>
        <v>T&amp;A add-on is cancelled</v>
      </c>
      <c r="G258" s="14" t="str">
        <f>IFERROR(VLOOKUP($C258,'Test Library'!$A:$P,6,FALSE),"")</f>
        <v>Critical</v>
      </c>
      <c r="H258" s="14" t="inlineStr">
        <is>
          <t xml:space="preserve">Staging</t>
        </is>
      </c>
      <c r="I258" s="14" t="inlineStr">
        <is>
          <t xml:space="preserve">Not Run</t>
        </is>
      </c>
      <c r="J258" s="14"/>
      <c r="K258" s="17"/>
      <c r="L258" s="14"/>
      <c r="M258" s="14"/>
      <c r="N258" s="14"/>
      <c r="O258" s="14" t="inlineStr">
        <is>
          <t xml:space="preserve">Not Required</t>
        </is>
      </c>
      <c r="P258" s="14" t="str">
        <f>IFERROR(VLOOKUP($C258,'Test Library'!$A:$P,14,FALSE),"")</f>
        <v>Yes</v>
      </c>
      <c r="Q258" s="14"/>
    </row>
    <row r="259">
      <c r="A259" s="14" t="inlineStr">
        <is>
          <t xml:space="preserve">BETARUN-0259</t>
        </is>
      </c>
      <c r="B259" s="14" t="inlineStr">
        <is>
          <t xml:space="preserve">Beta Release</t>
        </is>
      </c>
      <c r="C259" s="14" t="inlineStr">
        <is>
          <t xml:space="preserve">RR-0259</t>
        </is>
      </c>
      <c r="D259" s="14" t="str">
        <f>IFERROR(VLOOKUP($C259,'Test Library'!$A:$P,2,FALSE),"")</f>
        <v>Timesheets</v>
      </c>
      <c r="E259" s="14" t="str">
        <f>IFERROR(VLOOKUP($C259,'Test Library'!$A:$P,3,FALSE),"")</f>
        <v>Attendance calculation and review</v>
      </c>
      <c r="F259" s="14" t="str">
        <f>IFERROR(VLOOKUP($C259,'Test Library'!$A:$P,5,FALSE),"")</f>
        <v>Export approved timesheets</v>
      </c>
      <c r="G259" s="14" t="str">
        <f>IFERROR(VLOOKUP($C259,'Test Library'!$A:$P,6,FALSE),"")</f>
        <v>High</v>
      </c>
      <c r="H259" s="14" t="inlineStr">
        <is>
          <t xml:space="preserve">Staging</t>
        </is>
      </c>
      <c r="I259" s="14" t="inlineStr">
        <is>
          <t xml:space="preserve">Not Run</t>
        </is>
      </c>
      <c r="J259" s="14"/>
      <c r="K259" s="17"/>
      <c r="L259" s="14"/>
      <c r="M259" s="14"/>
      <c r="N259" s="14"/>
      <c r="O259" s="14" t="inlineStr">
        <is>
          <t xml:space="preserve">Not Required</t>
        </is>
      </c>
      <c r="P259" s="14" t="str">
        <f>IFERROR(VLOOKUP($C259,'Test Library'!$A:$P,14,FALSE),"")</f>
        <v>Yes</v>
      </c>
      <c r="Q259" s="14"/>
    </row>
    <row r="260">
      <c r="A260" s="14" t="inlineStr">
        <is>
          <t xml:space="preserve">BETARUN-0260</t>
        </is>
      </c>
      <c r="B260" s="14" t="inlineStr">
        <is>
          <t xml:space="preserve">Beta Release</t>
        </is>
      </c>
      <c r="C260" s="14" t="inlineStr">
        <is>
          <t xml:space="preserve">RR-0260</t>
        </is>
      </c>
      <c r="D260" s="14" t="str">
        <f>IFERROR(VLOOKUP($C260,'Test Library'!$A:$P,2,FALSE),"")</f>
        <v>Timesheets</v>
      </c>
      <c r="E260" s="14" t="str">
        <f>IFERROR(VLOOKUP($C260,'Test Library'!$A:$P,3,FALSE),"")</f>
        <v>Attendance calculation and review</v>
      </c>
      <c r="F260" s="14" t="str">
        <f>IFERROR(VLOOKUP($C260,'Test Library'!$A:$P,5,FALSE),"")</f>
        <v>Large location timesheet page</v>
      </c>
      <c r="G260" s="14" t="str">
        <f>IFERROR(VLOOKUP($C260,'Test Library'!$A:$P,6,FALSE),"")</f>
        <v>High</v>
      </c>
      <c r="H260" s="14" t="inlineStr">
        <is>
          <t xml:space="preserve">Staging</t>
        </is>
      </c>
      <c r="I260" s="14" t="inlineStr">
        <is>
          <t xml:space="preserve">Not Run</t>
        </is>
      </c>
      <c r="J260" s="14"/>
      <c r="K260" s="17"/>
      <c r="L260" s="14"/>
      <c r="M260" s="14"/>
      <c r="N260" s="14"/>
      <c r="O260" s="14" t="inlineStr">
        <is>
          <t xml:space="preserve">Not Required</t>
        </is>
      </c>
      <c r="P260" s="14" t="str">
        <f>IFERROR(VLOOKUP($C260,'Test Library'!$A:$P,14,FALSE),"")</f>
        <v>Yes</v>
      </c>
      <c r="Q260" s="14"/>
    </row>
    <row r="261">
      <c r="A261" s="14" t="inlineStr">
        <is>
          <t xml:space="preserve">BETARUN-0281</t>
        </is>
      </c>
      <c r="B261" s="14" t="inlineStr">
        <is>
          <t xml:space="preserve">Beta Release</t>
        </is>
      </c>
      <c r="C261" s="14" t="inlineStr">
        <is>
          <t xml:space="preserve">RR-0281</t>
        </is>
      </c>
      <c r="D261" s="14" t="str">
        <f>IFERROR(VLOOKUP($C261,'Test Library'!$A:$P,2,FALSE),"")</f>
        <v>Payroll &amp; Sage Export</v>
      </c>
      <c r="E261" s="14" t="str">
        <f>IFERROR(VLOOKUP($C261,'Test Library'!$A:$P,3,FALSE),"")</f>
        <v>Payroll preparation and export</v>
      </c>
      <c r="F261" s="14" t="str">
        <f>IFERROR(VLOOKUP($C261,'Test Library'!$A:$P,5,FALSE),"")</f>
        <v>Export approved weekly timesheets to Sage-compatible CSV</v>
      </c>
      <c r="G261" s="14" t="str">
        <f>IFERROR(VLOOKUP($C261,'Test Library'!$A:$P,6,FALSE),"")</f>
        <v>Critical</v>
      </c>
      <c r="H261" s="14" t="inlineStr">
        <is>
          <t xml:space="preserve">Staging</t>
        </is>
      </c>
      <c r="I261" s="14" t="inlineStr">
        <is>
          <t xml:space="preserve">Not Run</t>
        </is>
      </c>
      <c r="J261" s="14"/>
      <c r="K261" s="17"/>
      <c r="L261" s="14"/>
      <c r="M261" s="14"/>
      <c r="N261" s="14"/>
      <c r="O261" s="14" t="inlineStr">
        <is>
          <t xml:space="preserve">Not Required</t>
        </is>
      </c>
      <c r="P261" s="14" t="str">
        <f>IFERROR(VLOOKUP($C261,'Test Library'!$A:$P,14,FALSE),"")</f>
        <v>Yes</v>
      </c>
      <c r="Q261" s="14"/>
    </row>
    <row r="262">
      <c r="A262" s="14" t="inlineStr">
        <is>
          <t xml:space="preserve">BETARUN-0282</t>
        </is>
      </c>
      <c r="B262" s="14" t="inlineStr">
        <is>
          <t xml:space="preserve">Beta Release</t>
        </is>
      </c>
      <c r="C262" s="14" t="inlineStr">
        <is>
          <t xml:space="preserve">RR-0282</t>
        </is>
      </c>
      <c r="D262" s="14" t="str">
        <f>IFERROR(VLOOKUP($C262,'Test Library'!$A:$P,2,FALSE),"")</f>
        <v>Payroll &amp; Sage Export</v>
      </c>
      <c r="E262" s="14" t="str">
        <f>IFERROR(VLOOKUP($C262,'Test Library'!$A:$P,3,FALSE),"")</f>
        <v>Payroll preparation and export</v>
      </c>
      <c r="F262" s="14" t="str">
        <f>IFERROR(VLOOKUP($C262,'Test Library'!$A:$P,5,FALSE),"")</f>
        <v>Employee payroll reference is missing</v>
      </c>
      <c r="G262" s="14" t="str">
        <f>IFERROR(VLOOKUP($C262,'Test Library'!$A:$P,6,FALSE),"")</f>
        <v>Critical</v>
      </c>
      <c r="H262" s="14" t="inlineStr">
        <is>
          <t xml:space="preserve">Staging</t>
        </is>
      </c>
      <c r="I262" s="14" t="inlineStr">
        <is>
          <t xml:space="preserve">Not Run</t>
        </is>
      </c>
      <c r="J262" s="14"/>
      <c r="K262" s="17"/>
      <c r="L262" s="14"/>
      <c r="M262" s="14"/>
      <c r="N262" s="14"/>
      <c r="O262" s="14" t="inlineStr">
        <is>
          <t xml:space="preserve">Not Required</t>
        </is>
      </c>
      <c r="P262" s="14" t="str">
        <f>IFERROR(VLOOKUP($C262,'Test Library'!$A:$P,14,FALSE),"")</f>
        <v>Yes</v>
      </c>
      <c r="Q262" s="14"/>
    </row>
    <row r="263">
      <c r="A263" s="14" t="inlineStr">
        <is>
          <t xml:space="preserve">BETARUN-0283</t>
        </is>
      </c>
      <c r="B263" s="14" t="inlineStr">
        <is>
          <t xml:space="preserve">Beta Release</t>
        </is>
      </c>
      <c r="C263" s="14" t="inlineStr">
        <is>
          <t xml:space="preserve">RR-0283</t>
        </is>
      </c>
      <c r="D263" s="14" t="str">
        <f>IFERROR(VLOOKUP($C263,'Test Library'!$A:$P,2,FALSE),"")</f>
        <v>Payroll &amp; Sage Export</v>
      </c>
      <c r="E263" s="14" t="str">
        <f>IFERROR(VLOOKUP($C263,'Test Library'!$A:$P,3,FALSE),"")</f>
        <v>Payroll preparation and export</v>
      </c>
      <c r="F263" s="14" t="str">
        <f>IFERROR(VLOOKUP($C263,'Test Library'!$A:$P,5,FALSE),"")</f>
        <v>Two employees share a payroll reference</v>
      </c>
      <c r="G263" s="14" t="str">
        <f>IFERROR(VLOOKUP($C263,'Test Library'!$A:$P,6,FALSE),"")</f>
        <v>Critical</v>
      </c>
      <c r="H263" s="14" t="inlineStr">
        <is>
          <t xml:space="preserve">Staging</t>
        </is>
      </c>
      <c r="I263" s="14" t="inlineStr">
        <is>
          <t xml:space="preserve">Not Run</t>
        </is>
      </c>
      <c r="J263" s="14"/>
      <c r="K263" s="17"/>
      <c r="L263" s="14"/>
      <c r="M263" s="14"/>
      <c r="N263" s="14"/>
      <c r="O263" s="14" t="inlineStr">
        <is>
          <t xml:space="preserve">Not Required</t>
        </is>
      </c>
      <c r="P263" s="14" t="str">
        <f>IFERROR(VLOOKUP($C263,'Test Library'!$A:$P,14,FALSE),"")</f>
        <v>Yes</v>
      </c>
      <c r="Q263" s="14"/>
    </row>
    <row r="264">
      <c r="A264" s="14" t="inlineStr">
        <is>
          <t xml:space="preserve">BETARUN-0284</t>
        </is>
      </c>
      <c r="B264" s="14" t="inlineStr">
        <is>
          <t xml:space="preserve">Beta Release</t>
        </is>
      </c>
      <c r="C264" s="14" t="inlineStr">
        <is>
          <t xml:space="preserve">RR-0284</t>
        </is>
      </c>
      <c r="D264" s="14" t="str">
        <f>IFERROR(VLOOKUP($C264,'Test Library'!$A:$P,2,FALSE),"")</f>
        <v>Payroll &amp; Sage Export</v>
      </c>
      <c r="E264" s="14" t="str">
        <f>IFERROR(VLOOKUP($C264,'Test Library'!$A:$P,3,FALSE),"")</f>
        <v>Payroll preparation and export</v>
      </c>
      <c r="F264" s="14" t="str">
        <f>IFERROR(VLOOKUP($C264,'Test Library'!$A:$P,5,FALSE),"")</f>
        <v>Export includes regular and overtime hours</v>
      </c>
      <c r="G264" s="14" t="str">
        <f>IFERROR(VLOOKUP($C264,'Test Library'!$A:$P,6,FALSE),"")</f>
        <v>Critical</v>
      </c>
      <c r="H264" s="14" t="inlineStr">
        <is>
          <t xml:space="preserve">Staging</t>
        </is>
      </c>
      <c r="I264" s="14" t="inlineStr">
        <is>
          <t xml:space="preserve">Not Run</t>
        </is>
      </c>
      <c r="J264" s="14"/>
      <c r="K264" s="17"/>
      <c r="L264" s="14"/>
      <c r="M264" s="14"/>
      <c r="N264" s="14"/>
      <c r="O264" s="14" t="inlineStr">
        <is>
          <t xml:space="preserve">Not Required</t>
        </is>
      </c>
      <c r="P264" s="14" t="str">
        <f>IFERROR(VLOOKUP($C264,'Test Library'!$A:$P,14,FALSE),"")</f>
        <v>Yes</v>
      </c>
      <c r="Q264" s="14"/>
    </row>
    <row r="265">
      <c r="A265" s="14" t="inlineStr">
        <is>
          <t xml:space="preserve">BETARUN-0285</t>
        </is>
      </c>
      <c r="B265" s="14" t="inlineStr">
        <is>
          <t xml:space="preserve">Beta Release</t>
        </is>
      </c>
      <c r="C265" s="14" t="inlineStr">
        <is>
          <t xml:space="preserve">RR-0285</t>
        </is>
      </c>
      <c r="D265" s="14" t="str">
        <f>IFERROR(VLOOKUP($C265,'Test Library'!$A:$P,2,FALSE),"")</f>
        <v>Payroll &amp; Sage Export</v>
      </c>
      <c r="E265" s="14" t="str">
        <f>IFERROR(VLOOKUP($C265,'Test Library'!$A:$P,3,FALSE),"")</f>
        <v>Payroll preparation and export</v>
      </c>
      <c r="F265" s="14" t="str">
        <f>IFERROR(VLOOKUP($C265,'Test Library'!$A:$P,5,FALSE),"")</f>
        <v>Export includes overnight shift hours</v>
      </c>
      <c r="G265" s="14" t="str">
        <f>IFERROR(VLOOKUP($C265,'Test Library'!$A:$P,6,FALSE),"")</f>
        <v>High</v>
      </c>
      <c r="H265" s="14" t="inlineStr">
        <is>
          <t xml:space="preserve">Staging</t>
        </is>
      </c>
      <c r="I265" s="14" t="inlineStr">
        <is>
          <t xml:space="preserve">Not Run</t>
        </is>
      </c>
      <c r="J265" s="14"/>
      <c r="K265" s="17"/>
      <c r="L265" s="14"/>
      <c r="M265" s="14"/>
      <c r="N265" s="14"/>
      <c r="O265" s="14" t="inlineStr">
        <is>
          <t xml:space="preserve">Not Required</t>
        </is>
      </c>
      <c r="P265" s="14" t="str">
        <f>IFERROR(VLOOKUP($C265,'Test Library'!$A:$P,14,FALSE),"")</f>
        <v>Yes</v>
      </c>
      <c r="Q265" s="14"/>
    </row>
    <row r="266">
      <c r="A266" s="14" t="inlineStr">
        <is>
          <t xml:space="preserve">BETARUN-0286</t>
        </is>
      </c>
      <c r="B266" s="14" t="inlineStr">
        <is>
          <t xml:space="preserve">Beta Release</t>
        </is>
      </c>
      <c r="C266" s="14" t="inlineStr">
        <is>
          <t xml:space="preserve">RR-0286</t>
        </is>
      </c>
      <c r="D266" s="14" t="str">
        <f>IFERROR(VLOOKUP($C266,'Test Library'!$A:$P,2,FALSE),"")</f>
        <v>Payroll &amp; Sage Export</v>
      </c>
      <c r="E266" s="14" t="str">
        <f>IFERROR(VLOOKUP($C266,'Test Library'!$A:$P,3,FALSE),"")</f>
        <v>Payroll preparation and export</v>
      </c>
      <c r="F266" s="14" t="str">
        <f>IFERROR(VLOOKUP($C266,'Test Library'!$A:$P,5,FALSE),"")</f>
        <v>Export includes manual adjustments</v>
      </c>
      <c r="G266" s="14" t="str">
        <f>IFERROR(VLOOKUP($C266,'Test Library'!$A:$P,6,FALSE),"")</f>
        <v>High</v>
      </c>
      <c r="H266" s="14" t="inlineStr">
        <is>
          <t xml:space="preserve">Staging</t>
        </is>
      </c>
      <c r="I266" s="14" t="inlineStr">
        <is>
          <t xml:space="preserve">Not Run</t>
        </is>
      </c>
      <c r="J266" s="14"/>
      <c r="K266" s="17"/>
      <c r="L266" s="14"/>
      <c r="M266" s="14"/>
      <c r="N266" s="14"/>
      <c r="O266" s="14" t="inlineStr">
        <is>
          <t xml:space="preserve">Not Required</t>
        </is>
      </c>
      <c r="P266" s="14" t="str">
        <f>IFERROR(VLOOKUP($C266,'Test Library'!$A:$P,14,FALSE),"")</f>
        <v>Yes</v>
      </c>
      <c r="Q266" s="14"/>
    </row>
    <row r="267">
      <c r="A267" s="14" t="inlineStr">
        <is>
          <t xml:space="preserve">BETARUN-0287</t>
        </is>
      </c>
      <c r="B267" s="14" t="inlineStr">
        <is>
          <t xml:space="preserve">Beta Release</t>
        </is>
      </c>
      <c r="C267" s="14" t="inlineStr">
        <is>
          <t xml:space="preserve">RR-0287</t>
        </is>
      </c>
      <c r="D267" s="14" t="str">
        <f>IFERROR(VLOOKUP($C267,'Test Library'!$A:$P,2,FALSE),"")</f>
        <v>Payroll &amp; Sage Export</v>
      </c>
      <c r="E267" s="14" t="str">
        <f>IFERROR(VLOOKUP($C267,'Test Library'!$A:$P,3,FALSE),"")</f>
        <v>Payroll preparation and export</v>
      </c>
      <c r="F267" s="14" t="str">
        <f>IFERROR(VLOOKUP($C267,'Test Library'!$A:$P,5,FALSE),"")</f>
        <v>Re-export the same approved period</v>
      </c>
      <c r="G267" s="14" t="str">
        <f>IFERROR(VLOOKUP($C267,'Test Library'!$A:$P,6,FALSE),"")</f>
        <v>Critical</v>
      </c>
      <c r="H267" s="14" t="inlineStr">
        <is>
          <t xml:space="preserve">Staging</t>
        </is>
      </c>
      <c r="I267" s="14" t="inlineStr">
        <is>
          <t xml:space="preserve">Not Run</t>
        </is>
      </c>
      <c r="J267" s="14"/>
      <c r="K267" s="17"/>
      <c r="L267" s="14"/>
      <c r="M267" s="14"/>
      <c r="N267" s="14"/>
      <c r="O267" s="14" t="inlineStr">
        <is>
          <t xml:space="preserve">Not Required</t>
        </is>
      </c>
      <c r="P267" s="14" t="str">
        <f>IFERROR(VLOOKUP($C267,'Test Library'!$A:$P,14,FALSE),"")</f>
        <v>Yes</v>
      </c>
      <c r="Q267" s="14"/>
    </row>
    <row r="268">
      <c r="A268" s="14" t="inlineStr">
        <is>
          <t xml:space="preserve">BETARUN-0288</t>
        </is>
      </c>
      <c r="B268" s="14" t="inlineStr">
        <is>
          <t xml:space="preserve">Beta Release</t>
        </is>
      </c>
      <c r="C268" s="14" t="inlineStr">
        <is>
          <t xml:space="preserve">RR-0288</t>
        </is>
      </c>
      <c r="D268" s="14" t="str">
        <f>IFERROR(VLOOKUP($C268,'Test Library'!$A:$P,2,FALSE),"")</f>
        <v>Payroll &amp; Sage Export</v>
      </c>
      <c r="E268" s="14" t="str">
        <f>IFERROR(VLOOKUP($C268,'Test Library'!$A:$P,3,FALSE),"")</f>
        <v>Payroll preparation and export</v>
      </c>
      <c r="F268" s="14" t="str">
        <f>IFERROR(VLOOKUP($C268,'Test Library'!$A:$P,5,FALSE),"")</f>
        <v>Change payroll mapping after an earlier export</v>
      </c>
      <c r="G268" s="14" t="str">
        <f>IFERROR(VLOOKUP($C268,'Test Library'!$A:$P,6,FALSE),"")</f>
        <v>High</v>
      </c>
      <c r="H268" s="14" t="inlineStr">
        <is>
          <t xml:space="preserve">Staging</t>
        </is>
      </c>
      <c r="I268" s="14" t="inlineStr">
        <is>
          <t xml:space="preserve">Not Run</t>
        </is>
      </c>
      <c r="J268" s="14"/>
      <c r="K268" s="17"/>
      <c r="L268" s="14"/>
      <c r="M268" s="14"/>
      <c r="N268" s="14"/>
      <c r="O268" s="14" t="inlineStr">
        <is>
          <t xml:space="preserve">Not Required</t>
        </is>
      </c>
      <c r="P268" s="14" t="str">
        <f>IFERROR(VLOOKUP($C268,'Test Library'!$A:$P,14,FALSE),"")</f>
        <v>Yes</v>
      </c>
      <c r="Q268" s="14"/>
    </row>
    <row r="269">
      <c r="A269" s="14" t="inlineStr">
        <is>
          <t xml:space="preserve">BETARUN-0289</t>
        </is>
      </c>
      <c r="B269" s="14" t="inlineStr">
        <is>
          <t xml:space="preserve">Beta Release</t>
        </is>
      </c>
      <c r="C269" s="14" t="inlineStr">
        <is>
          <t xml:space="preserve">RR-0289</t>
        </is>
      </c>
      <c r="D269" s="14" t="str">
        <f>IFERROR(VLOOKUP($C269,'Test Library'!$A:$P,2,FALSE),"")</f>
        <v>Payroll &amp; Sage Export</v>
      </c>
      <c r="E269" s="14" t="str">
        <f>IFERROR(VLOOKUP($C269,'Test Library'!$A:$P,3,FALSE),"")</f>
        <v>Payroll preparation and export</v>
      </c>
      <c r="F269" s="14" t="str">
        <f>IFERROR(VLOOKUP($C269,'Test Library'!$A:$P,5,FALSE),"")</f>
        <v>Use employee names with commas/apostrophes</v>
      </c>
      <c r="G269" s="14" t="str">
        <f>IFERROR(VLOOKUP($C269,'Test Library'!$A:$P,6,FALSE),"")</f>
        <v>High</v>
      </c>
      <c r="H269" s="14" t="inlineStr">
        <is>
          <t xml:space="preserve">Staging</t>
        </is>
      </c>
      <c r="I269" s="14" t="inlineStr">
        <is>
          <t xml:space="preserve">Not Run</t>
        </is>
      </c>
      <c r="J269" s="14"/>
      <c r="K269" s="17"/>
      <c r="L269" s="14"/>
      <c r="M269" s="14"/>
      <c r="N269" s="14"/>
      <c r="O269" s="14" t="inlineStr">
        <is>
          <t xml:space="preserve">Not Required</t>
        </is>
      </c>
      <c r="P269" s="14" t="str">
        <f>IFERROR(VLOOKUP($C269,'Test Library'!$A:$P,14,FALSE),"")</f>
        <v>Yes</v>
      </c>
      <c r="Q269" s="14"/>
    </row>
    <row r="270">
      <c r="A270" s="14" t="inlineStr">
        <is>
          <t xml:space="preserve">BETARUN-0290</t>
        </is>
      </c>
      <c r="B270" s="14" t="inlineStr">
        <is>
          <t xml:space="preserve">Beta Release</t>
        </is>
      </c>
      <c r="C270" s="14" t="inlineStr">
        <is>
          <t xml:space="preserve">RR-0290</t>
        </is>
      </c>
      <c r="D270" s="14" t="str">
        <f>IFERROR(VLOOKUP($C270,'Test Library'!$A:$P,2,FALSE),"")</f>
        <v>Payroll &amp; Sage Export</v>
      </c>
      <c r="E270" s="14" t="str">
        <f>IFERROR(VLOOKUP($C270,'Test Library'!$A:$P,3,FALSE),"")</f>
        <v>Payroll preparation and export</v>
      </c>
      <c r="F270" s="14" t="str">
        <f>IFERROR(VLOOKUP($C270,'Test Library'!$A:$P,5,FALSE),"")</f>
        <v>Open CSV in common spreadsheet software</v>
      </c>
      <c r="G270" s="14" t="str">
        <f>IFERROR(VLOOKUP($C270,'Test Library'!$A:$P,6,FALSE),"")</f>
        <v>Medium</v>
      </c>
      <c r="H270" s="14" t="inlineStr">
        <is>
          <t xml:space="preserve">Staging</t>
        </is>
      </c>
      <c r="I270" s="14" t="inlineStr">
        <is>
          <t xml:space="preserve">Not Run</t>
        </is>
      </c>
      <c r="J270" s="14"/>
      <c r="K270" s="17"/>
      <c r="L270" s="14"/>
      <c r="M270" s="14"/>
      <c r="N270" s="14"/>
      <c r="O270" s="14" t="inlineStr">
        <is>
          <t xml:space="preserve">Not Required</t>
        </is>
      </c>
      <c r="P270" s="14" t="str">
        <f>IFERROR(VLOOKUP($C270,'Test Library'!$A:$P,14,FALSE),"")</f>
        <v>No</v>
      </c>
      <c r="Q270" s="14"/>
    </row>
    <row r="271">
      <c r="A271" s="14" t="inlineStr">
        <is>
          <t xml:space="preserve">BETARUN-0291</t>
        </is>
      </c>
      <c r="B271" s="14" t="inlineStr">
        <is>
          <t xml:space="preserve">Beta Release</t>
        </is>
      </c>
      <c r="C271" s="14" t="inlineStr">
        <is>
          <t xml:space="preserve">RR-0291</t>
        </is>
      </c>
      <c r="D271" s="14" t="str">
        <f>IFERROR(VLOOKUP($C271,'Test Library'!$A:$P,2,FALSE),"")</f>
        <v>Payroll &amp; Sage Export</v>
      </c>
      <c r="E271" s="14" t="str">
        <f>IFERROR(VLOOKUP($C271,'Test Library'!$A:$P,3,FALSE),"")</f>
        <v>Payroll preparation and export</v>
      </c>
      <c r="F271" s="14" t="str">
        <f>IFERROR(VLOOKUP($C271,'Test Library'!$A:$P,5,FALSE),"")</f>
        <v>Manager without payroll permission attempts export</v>
      </c>
      <c r="G271" s="14" t="str">
        <f>IFERROR(VLOOKUP($C271,'Test Library'!$A:$P,6,FALSE),"")</f>
        <v>Critical</v>
      </c>
      <c r="H271" s="14" t="inlineStr">
        <is>
          <t xml:space="preserve">Staging</t>
        </is>
      </c>
      <c r="I271" s="14" t="inlineStr">
        <is>
          <t xml:space="preserve">Not Run</t>
        </is>
      </c>
      <c r="J271" s="14"/>
      <c r="K271" s="17"/>
      <c r="L271" s="14"/>
      <c r="M271" s="14"/>
      <c r="N271" s="14"/>
      <c r="O271" s="14" t="inlineStr">
        <is>
          <t xml:space="preserve">Not Required</t>
        </is>
      </c>
      <c r="P271" s="14" t="str">
        <f>IFERROR(VLOOKUP($C271,'Test Library'!$A:$P,14,FALSE),"")</f>
        <v>Yes</v>
      </c>
      <c r="Q271" s="14"/>
    </row>
    <row r="272">
      <c r="A272" s="14" t="inlineStr">
        <is>
          <t xml:space="preserve">BETARUN-0292</t>
        </is>
      </c>
      <c r="B272" s="14" t="inlineStr">
        <is>
          <t xml:space="preserve">Beta Release</t>
        </is>
      </c>
      <c r="C272" s="14" t="inlineStr">
        <is>
          <t xml:space="preserve">RR-0292</t>
        </is>
      </c>
      <c r="D272" s="14" t="str">
        <f>IFERROR(VLOOKUP($C272,'Test Library'!$A:$P,2,FALSE),"")</f>
        <v>Payroll &amp; Sage Export</v>
      </c>
      <c r="E272" s="14" t="str">
        <f>IFERROR(VLOOKUP($C272,'Test Library'!$A:$P,3,FALSE),"")</f>
        <v>Payroll preparation and export</v>
      </c>
      <c r="F272" s="14" t="str">
        <f>IFERROR(VLOOKUP($C272,'Test Library'!$A:$P,5,FALSE),"")</f>
        <v>Export a large multi-location payroll period</v>
      </c>
      <c r="G272" s="14" t="str">
        <f>IFERROR(VLOOKUP($C272,'Test Library'!$A:$P,6,FALSE),"")</f>
        <v>High</v>
      </c>
      <c r="H272" s="14" t="inlineStr">
        <is>
          <t xml:space="preserve">Staging</t>
        </is>
      </c>
      <c r="I272" s="14" t="inlineStr">
        <is>
          <t xml:space="preserve">Not Run</t>
        </is>
      </c>
      <c r="J272" s="14"/>
      <c r="K272" s="17"/>
      <c r="L272" s="14"/>
      <c r="M272" s="14"/>
      <c r="N272" s="14"/>
      <c r="O272" s="14" t="inlineStr">
        <is>
          <t xml:space="preserve">Not Required</t>
        </is>
      </c>
      <c r="P272" s="14" t="str">
        <f>IFERROR(VLOOKUP($C272,'Test Library'!$A:$P,14,FALSE),"")</f>
        <v>Yes</v>
      </c>
      <c r="Q272" s="14"/>
    </row>
    <row r="273">
      <c r="A273" s="14" t="inlineStr">
        <is>
          <t xml:space="preserve">BETARUN-0293</t>
        </is>
      </c>
      <c r="B273" s="14" t="inlineStr">
        <is>
          <t xml:space="preserve">Beta Release</t>
        </is>
      </c>
      <c r="C273" s="14" t="inlineStr">
        <is>
          <t xml:space="preserve">RR-0293</t>
        </is>
      </c>
      <c r="D273" s="14" t="str">
        <f>IFERROR(VLOOKUP($C273,'Test Library'!$A:$P,2,FALSE),"")</f>
        <v>Billing &amp; Stripe</v>
      </c>
      <c r="E273" s="14" t="str">
        <f>IFERROR(VLOOKUP($C273,'Test Library'!$A:$P,3,FALSE),"")</f>
        <v>Trials, subscriptions and invoices</v>
      </c>
      <c r="F273" s="14" t="str">
        <f>IFERROR(VLOOKUP($C273,'Test Library'!$A:$P,5,FALSE),"")</f>
        <v>Start a trial without a payment card</v>
      </c>
      <c r="G273" s="14" t="str">
        <f>IFERROR(VLOOKUP($C273,'Test Library'!$A:$P,6,FALSE),"")</f>
        <v>Critical</v>
      </c>
      <c r="H273" s="14" t="inlineStr">
        <is>
          <t xml:space="preserve">Staging</t>
        </is>
      </c>
      <c r="I273" s="14" t="inlineStr">
        <is>
          <t xml:space="preserve">Not Run</t>
        </is>
      </c>
      <c r="J273" s="14"/>
      <c r="K273" s="17"/>
      <c r="L273" s="14"/>
      <c r="M273" s="14"/>
      <c r="N273" s="14"/>
      <c r="O273" s="14" t="inlineStr">
        <is>
          <t xml:space="preserve">Not Required</t>
        </is>
      </c>
      <c r="P273" s="14" t="str">
        <f>IFERROR(VLOOKUP($C273,'Test Library'!$A:$P,14,FALSE),"")</f>
        <v>Yes</v>
      </c>
      <c r="Q273" s="14"/>
    </row>
    <row r="274">
      <c r="A274" s="14" t="inlineStr">
        <is>
          <t xml:space="preserve">BETARUN-0294</t>
        </is>
      </c>
      <c r="B274" s="14" t="inlineStr">
        <is>
          <t xml:space="preserve">Beta Release</t>
        </is>
      </c>
      <c r="C274" s="14" t="inlineStr">
        <is>
          <t xml:space="preserve">RR-0294</t>
        </is>
      </c>
      <c r="D274" s="14" t="str">
        <f>IFERROR(VLOOKUP($C274,'Test Library'!$A:$P,2,FALSE),"")</f>
        <v>Billing &amp; Stripe</v>
      </c>
      <c r="E274" s="14" t="str">
        <f>IFERROR(VLOOKUP($C274,'Test Library'!$A:$P,3,FALSE),"")</f>
        <v>Trials, subscriptions and invoices</v>
      </c>
      <c r="F274" s="14" t="str">
        <f>IFERROR(VLOOKUP($C274,'Test Library'!$A:$P,5,FALSE),"")</f>
        <v>Trial expires without a payment method</v>
      </c>
      <c r="G274" s="14" t="str">
        <f>IFERROR(VLOOKUP($C274,'Test Library'!$A:$P,6,FALSE),"")</f>
        <v>Critical</v>
      </c>
      <c r="H274" s="14" t="inlineStr">
        <is>
          <t xml:space="preserve">Staging</t>
        </is>
      </c>
      <c r="I274" s="14" t="inlineStr">
        <is>
          <t xml:space="preserve">Not Run</t>
        </is>
      </c>
      <c r="J274" s="14"/>
      <c r="K274" s="17"/>
      <c r="L274" s="14"/>
      <c r="M274" s="14"/>
      <c r="N274" s="14"/>
      <c r="O274" s="14" t="inlineStr">
        <is>
          <t xml:space="preserve">Not Required</t>
        </is>
      </c>
      <c r="P274" s="14" t="str">
        <f>IFERROR(VLOOKUP($C274,'Test Library'!$A:$P,14,FALSE),"")</f>
        <v>Yes</v>
      </c>
      <c r="Q274" s="14"/>
    </row>
    <row r="275">
      <c r="A275" s="14" t="inlineStr">
        <is>
          <t xml:space="preserve">BETARUN-0295</t>
        </is>
      </c>
      <c r="B275" s="14" t="inlineStr">
        <is>
          <t xml:space="preserve">Beta Release</t>
        </is>
      </c>
      <c r="C275" s="14" t="inlineStr">
        <is>
          <t xml:space="preserve">RR-0295</t>
        </is>
      </c>
      <c r="D275" s="14" t="str">
        <f>IFERROR(VLOOKUP($C275,'Test Library'!$A:$P,2,FALSE),"")</f>
        <v>Billing &amp; Stripe</v>
      </c>
      <c r="E275" s="14" t="str">
        <f>IFERROR(VLOOKUP($C275,'Test Library'!$A:$P,3,FALSE),"")</f>
        <v>Trials, subscriptions and invoices</v>
      </c>
      <c r="F275" s="14" t="str">
        <f>IFERROR(VLOOKUP($C275,'Test Library'!$A:$P,5,FALSE),"")</f>
        <v>Add a valid payment method during trial</v>
      </c>
      <c r="G275" s="14" t="str">
        <f>IFERROR(VLOOKUP($C275,'Test Library'!$A:$P,6,FALSE),"")</f>
        <v>Critical</v>
      </c>
      <c r="H275" s="14" t="inlineStr">
        <is>
          <t xml:space="preserve">Staging</t>
        </is>
      </c>
      <c r="I275" s="14" t="inlineStr">
        <is>
          <t xml:space="preserve">Not Run</t>
        </is>
      </c>
      <c r="J275" s="14"/>
      <c r="K275" s="17"/>
      <c r="L275" s="14"/>
      <c r="M275" s="14"/>
      <c r="N275" s="14"/>
      <c r="O275" s="14" t="inlineStr">
        <is>
          <t xml:space="preserve">Not Required</t>
        </is>
      </c>
      <c r="P275" s="14" t="str">
        <f>IFERROR(VLOOKUP($C275,'Test Library'!$A:$P,14,FALSE),"")</f>
        <v>Yes</v>
      </c>
      <c r="Q275" s="14"/>
    </row>
    <row r="276">
      <c r="A276" s="14" t="inlineStr">
        <is>
          <t xml:space="preserve">BETARUN-0296</t>
        </is>
      </c>
      <c r="B276" s="14" t="inlineStr">
        <is>
          <t xml:space="preserve">Beta Release</t>
        </is>
      </c>
      <c r="C276" s="14" t="inlineStr">
        <is>
          <t xml:space="preserve">RR-0296</t>
        </is>
      </c>
      <c r="D276" s="14" t="str">
        <f>IFERROR(VLOOKUP($C276,'Test Library'!$A:$P,2,FALSE),"")</f>
        <v>Billing &amp; Stripe</v>
      </c>
      <c r="E276" s="14" t="str">
        <f>IFERROR(VLOOKUP($C276,'Test Library'!$A:$P,3,FALSE),"")</f>
        <v>Trials, subscriptions and invoices</v>
      </c>
      <c r="F276" s="14" t="str">
        <f>IFERROR(VLOOKUP($C276,'Test Library'!$A:$P,5,FALSE),"")</f>
        <v>Trial converts to paid subscription</v>
      </c>
      <c r="G276" s="14" t="str">
        <f>IFERROR(VLOOKUP($C276,'Test Library'!$A:$P,6,FALSE),"")</f>
        <v>Critical</v>
      </c>
      <c r="H276" s="14" t="inlineStr">
        <is>
          <t xml:space="preserve">Staging</t>
        </is>
      </c>
      <c r="I276" s="14" t="inlineStr">
        <is>
          <t xml:space="preserve">Not Run</t>
        </is>
      </c>
      <c r="J276" s="14"/>
      <c r="K276" s="17"/>
      <c r="L276" s="14"/>
      <c r="M276" s="14"/>
      <c r="N276" s="14"/>
      <c r="O276" s="14" t="inlineStr">
        <is>
          <t xml:space="preserve">Not Required</t>
        </is>
      </c>
      <c r="P276" s="14" t="str">
        <f>IFERROR(VLOOKUP($C276,'Test Library'!$A:$P,14,FALSE),"")</f>
        <v>Yes</v>
      </c>
      <c r="Q276" s="14"/>
    </row>
    <row r="277">
      <c r="A277" s="14" t="inlineStr">
        <is>
          <t xml:space="preserve">BETARUN-0297</t>
        </is>
      </c>
      <c r="B277" s="14" t="inlineStr">
        <is>
          <t xml:space="preserve">Beta Release</t>
        </is>
      </c>
      <c r="C277" s="14" t="inlineStr">
        <is>
          <t xml:space="preserve">RR-0297</t>
        </is>
      </c>
      <c r="D277" s="14" t="str">
        <f>IFERROR(VLOOKUP($C277,'Test Library'!$A:$P,2,FALSE),"")</f>
        <v>Billing &amp; Stripe</v>
      </c>
      <c r="E277" s="14" t="str">
        <f>IFERROR(VLOOKUP($C277,'Test Library'!$A:$P,3,FALSE),"")</f>
        <v>Trials, subscriptions and invoices</v>
      </c>
      <c r="F277" s="14" t="str">
        <f>IFERROR(VLOOKUP($C277,'Test Library'!$A:$P,5,FALSE),"")</f>
        <v>Apply annual billing</v>
      </c>
      <c r="G277" s="14" t="str">
        <f>IFERROR(VLOOKUP($C277,'Test Library'!$A:$P,6,FALSE),"")</f>
        <v>Critical</v>
      </c>
      <c r="H277" s="14" t="inlineStr">
        <is>
          <t xml:space="preserve">Staging</t>
        </is>
      </c>
      <c r="I277" s="14" t="inlineStr">
        <is>
          <t xml:space="preserve">Not Run</t>
        </is>
      </c>
      <c r="J277" s="14"/>
      <c r="K277" s="17"/>
      <c r="L277" s="14"/>
      <c r="M277" s="14"/>
      <c r="N277" s="14"/>
      <c r="O277" s="14" t="inlineStr">
        <is>
          <t xml:space="preserve">Not Required</t>
        </is>
      </c>
      <c r="P277" s="14" t="str">
        <f>IFERROR(VLOOKUP($C277,'Test Library'!$A:$P,14,FALSE),"")</f>
        <v>Yes</v>
      </c>
      <c r="Q277" s="14"/>
    </row>
    <row r="278">
      <c r="A278" s="14" t="inlineStr">
        <is>
          <t xml:space="preserve">BETARUN-0298</t>
        </is>
      </c>
      <c r="B278" s="14" t="inlineStr">
        <is>
          <t xml:space="preserve">Beta Release</t>
        </is>
      </c>
      <c r="C278" s="14" t="inlineStr">
        <is>
          <t xml:space="preserve">RR-0298</t>
        </is>
      </c>
      <c r="D278" s="14" t="str">
        <f>IFERROR(VLOOKUP($C278,'Test Library'!$A:$P,2,FALSE),"")</f>
        <v>Billing &amp; Stripe</v>
      </c>
      <c r="E278" s="14" t="str">
        <f>IFERROR(VLOOKUP($C278,'Test Library'!$A:$P,3,FALSE),"")</f>
        <v>Trials, subscriptions and invoices</v>
      </c>
      <c r="F278" s="14" t="str">
        <f>IFERROR(VLOOKUP($C278,'Test Library'!$A:$P,5,FALSE),"")</f>
        <v>Switch monthly to annual</v>
      </c>
      <c r="G278" s="14" t="str">
        <f>IFERROR(VLOOKUP($C278,'Test Library'!$A:$P,6,FALSE),"")</f>
        <v>High</v>
      </c>
      <c r="H278" s="14" t="inlineStr">
        <is>
          <t xml:space="preserve">Staging</t>
        </is>
      </c>
      <c r="I278" s="14" t="inlineStr">
        <is>
          <t xml:space="preserve">Not Run</t>
        </is>
      </c>
      <c r="J278" s="14"/>
      <c r="K278" s="17"/>
      <c r="L278" s="14"/>
      <c r="M278" s="14"/>
      <c r="N278" s="14"/>
      <c r="O278" s="14" t="inlineStr">
        <is>
          <t xml:space="preserve">Not Required</t>
        </is>
      </c>
      <c r="P278" s="14" t="str">
        <f>IFERROR(VLOOKUP($C278,'Test Library'!$A:$P,14,FALSE),"")</f>
        <v>Yes</v>
      </c>
      <c r="Q278" s="14"/>
    </row>
    <row r="279">
      <c r="A279" s="14" t="inlineStr">
        <is>
          <t xml:space="preserve">BETARUN-0299</t>
        </is>
      </c>
      <c r="B279" s="14" t="inlineStr">
        <is>
          <t xml:space="preserve">Beta Release</t>
        </is>
      </c>
      <c r="C279" s="14" t="inlineStr">
        <is>
          <t xml:space="preserve">RR-0299</t>
        </is>
      </c>
      <c r="D279" s="14" t="str">
        <f>IFERROR(VLOOKUP($C279,'Test Library'!$A:$P,2,FALSE),"")</f>
        <v>Billing &amp; Stripe</v>
      </c>
      <c r="E279" s="14" t="str">
        <f>IFERROR(VLOOKUP($C279,'Test Library'!$A:$P,3,FALSE),"")</f>
        <v>Trials, subscriptions and invoices</v>
      </c>
      <c r="F279" s="14" t="str">
        <f>IFERROR(VLOOKUP($C279,'Test Library'!$A:$P,5,FALSE),"")</f>
        <v>Cancel at period end</v>
      </c>
      <c r="G279" s="14" t="str">
        <f>IFERROR(VLOOKUP($C279,'Test Library'!$A:$P,6,FALSE),"")</f>
        <v>Critical</v>
      </c>
      <c r="H279" s="14" t="inlineStr">
        <is>
          <t xml:space="preserve">Staging</t>
        </is>
      </c>
      <c r="I279" s="14" t="inlineStr">
        <is>
          <t xml:space="preserve">Not Run</t>
        </is>
      </c>
      <c r="J279" s="14"/>
      <c r="K279" s="17"/>
      <c r="L279" s="14"/>
      <c r="M279" s="14"/>
      <c r="N279" s="14"/>
      <c r="O279" s="14" t="inlineStr">
        <is>
          <t xml:space="preserve">Not Required</t>
        </is>
      </c>
      <c r="P279" s="14" t="str">
        <f>IFERROR(VLOOKUP($C279,'Test Library'!$A:$P,14,FALSE),"")</f>
        <v>Yes</v>
      </c>
      <c r="Q279" s="14"/>
    </row>
    <row r="280">
      <c r="A280" s="14" t="inlineStr">
        <is>
          <t xml:space="preserve">BETARUN-0300</t>
        </is>
      </c>
      <c r="B280" s="14" t="inlineStr">
        <is>
          <t xml:space="preserve">Beta Release</t>
        </is>
      </c>
      <c r="C280" s="14" t="inlineStr">
        <is>
          <t xml:space="preserve">RR-0300</t>
        </is>
      </c>
      <c r="D280" s="14" t="str">
        <f>IFERROR(VLOOKUP($C280,'Test Library'!$A:$P,2,FALSE),"")</f>
        <v>Billing &amp; Stripe</v>
      </c>
      <c r="E280" s="14" t="str">
        <f>IFERROR(VLOOKUP($C280,'Test Library'!$A:$P,3,FALSE),"")</f>
        <v>Trials, subscriptions and invoices</v>
      </c>
      <c r="F280" s="14" t="str">
        <f>IFERROR(VLOOKUP($C280,'Test Library'!$A:$P,5,FALSE),"")</f>
        <v>Reactivate before cancellation date</v>
      </c>
      <c r="G280" s="14" t="str">
        <f>IFERROR(VLOOKUP($C280,'Test Library'!$A:$P,6,FALSE),"")</f>
        <v>High</v>
      </c>
      <c r="H280" s="14" t="inlineStr">
        <is>
          <t xml:space="preserve">Staging</t>
        </is>
      </c>
      <c r="I280" s="14" t="inlineStr">
        <is>
          <t xml:space="preserve">Not Run</t>
        </is>
      </c>
      <c r="J280" s="14"/>
      <c r="K280" s="17"/>
      <c r="L280" s="14"/>
      <c r="M280" s="14"/>
      <c r="N280" s="14"/>
      <c r="O280" s="14" t="inlineStr">
        <is>
          <t xml:space="preserve">Not Required</t>
        </is>
      </c>
      <c r="P280" s="14" t="str">
        <f>IFERROR(VLOOKUP($C280,'Test Library'!$A:$P,14,FALSE),"")</f>
        <v>Yes</v>
      </c>
      <c r="Q280" s="14"/>
    </row>
    <row r="281">
      <c r="A281" s="14" t="inlineStr">
        <is>
          <t xml:space="preserve">BETARUN-0301</t>
        </is>
      </c>
      <c r="B281" s="14" t="inlineStr">
        <is>
          <t xml:space="preserve">Beta Release</t>
        </is>
      </c>
      <c r="C281" s="14" t="inlineStr">
        <is>
          <t xml:space="preserve">RR-0301</t>
        </is>
      </c>
      <c r="D281" s="14" t="str">
        <f>IFERROR(VLOOKUP($C281,'Test Library'!$A:$P,2,FALSE),"")</f>
        <v>Billing &amp; Stripe</v>
      </c>
      <c r="E281" s="14" t="str">
        <f>IFERROR(VLOOKUP($C281,'Test Library'!$A:$P,3,FALSE),"")</f>
        <v>Trials, subscriptions and invoices</v>
      </c>
      <c r="F281" s="14" t="str">
        <f>IFERROR(VLOOKUP($C281,'Test Library'!$A:$P,5,FALSE),"")</f>
        <v>Invoice and receipt display organisation/location details</v>
      </c>
      <c r="G281" s="14" t="str">
        <f>IFERROR(VLOOKUP($C281,'Test Library'!$A:$P,6,FALSE),"")</f>
        <v>High</v>
      </c>
      <c r="H281" s="14" t="inlineStr">
        <is>
          <t xml:space="preserve">Staging</t>
        </is>
      </c>
      <c r="I281" s="14" t="inlineStr">
        <is>
          <t xml:space="preserve">Not Run</t>
        </is>
      </c>
      <c r="J281" s="14"/>
      <c r="K281" s="17"/>
      <c r="L281" s="14"/>
      <c r="M281" s="14"/>
      <c r="N281" s="14"/>
      <c r="O281" s="14" t="inlineStr">
        <is>
          <t xml:space="preserve">Not Required</t>
        </is>
      </c>
      <c r="P281" s="14" t="str">
        <f>IFERROR(VLOOKUP($C281,'Test Library'!$A:$P,14,FALSE),"")</f>
        <v>Yes</v>
      </c>
      <c r="Q281" s="14"/>
    </row>
    <row r="282">
      <c r="A282" s="14" t="inlineStr">
        <is>
          <t xml:space="preserve">BETARUN-0302</t>
        </is>
      </c>
      <c r="B282" s="14" t="inlineStr">
        <is>
          <t xml:space="preserve">Beta Release</t>
        </is>
      </c>
      <c r="C282" s="14" t="inlineStr">
        <is>
          <t xml:space="preserve">RR-0302</t>
        </is>
      </c>
      <c r="D282" s="14" t="str">
        <f>IFERROR(VLOOKUP($C282,'Test Library'!$A:$P,2,FALSE),"")</f>
        <v>Billing &amp; Stripe</v>
      </c>
      <c r="E282" s="14" t="str">
        <f>IFERROR(VLOOKUP($C282,'Test Library'!$A:$P,3,FALSE),"")</f>
        <v>Trials, subscriptions and invoices</v>
      </c>
      <c r="F282" s="14" t="str">
        <f>IFERROR(VLOOKUP($C282,'Test Library'!$A:$P,5,FALSE),"")</f>
        <v>Stripe webhook is delivered twice</v>
      </c>
      <c r="G282" s="14" t="str">
        <f>IFERROR(VLOOKUP($C282,'Test Library'!$A:$P,6,FALSE),"")</f>
        <v>Critical</v>
      </c>
      <c r="H282" s="14" t="inlineStr">
        <is>
          <t xml:space="preserve">Staging</t>
        </is>
      </c>
      <c r="I282" s="14" t="inlineStr">
        <is>
          <t xml:space="preserve">Not Run</t>
        </is>
      </c>
      <c r="J282" s="14"/>
      <c r="K282" s="17"/>
      <c r="L282" s="14"/>
      <c r="M282" s="14"/>
      <c r="N282" s="14"/>
      <c r="O282" s="14" t="inlineStr">
        <is>
          <t xml:space="preserve">Not Required</t>
        </is>
      </c>
      <c r="P282" s="14" t="str">
        <f>IFERROR(VLOOKUP($C282,'Test Library'!$A:$P,14,FALSE),"")</f>
        <v>Yes</v>
      </c>
      <c r="Q282" s="14"/>
    </row>
    <row r="283">
      <c r="A283" s="14" t="inlineStr">
        <is>
          <t xml:space="preserve">BETARUN-0303</t>
        </is>
      </c>
      <c r="B283" s="14" t="inlineStr">
        <is>
          <t xml:space="preserve">Beta Release</t>
        </is>
      </c>
      <c r="C283" s="14" t="inlineStr">
        <is>
          <t xml:space="preserve">RR-0303</t>
        </is>
      </c>
      <c r="D283" s="14" t="str">
        <f>IFERROR(VLOOKUP($C283,'Test Library'!$A:$P,2,FALSE),"")</f>
        <v>Billing &amp; Stripe</v>
      </c>
      <c r="E283" s="14" t="str">
        <f>IFERROR(VLOOKUP($C283,'Test Library'!$A:$P,3,FALSE),"")</f>
        <v>Trials, subscriptions and invoices</v>
      </c>
      <c r="F283" s="14" t="str">
        <f>IFERROR(VLOOKUP($C283,'Test Library'!$A:$P,5,FALSE),"")</f>
        <v>Webhook arrives out of order</v>
      </c>
      <c r="G283" s="14" t="str">
        <f>IFERROR(VLOOKUP($C283,'Test Library'!$A:$P,6,FALSE),"")</f>
        <v>Critical</v>
      </c>
      <c r="H283" s="14" t="inlineStr">
        <is>
          <t xml:space="preserve">Staging</t>
        </is>
      </c>
      <c r="I283" s="14" t="inlineStr">
        <is>
          <t xml:space="preserve">Not Run</t>
        </is>
      </c>
      <c r="J283" s="14"/>
      <c r="K283" s="17"/>
      <c r="L283" s="14"/>
      <c r="M283" s="14"/>
      <c r="N283" s="14"/>
      <c r="O283" s="14" t="inlineStr">
        <is>
          <t xml:space="preserve">Not Required</t>
        </is>
      </c>
      <c r="P283" s="14" t="str">
        <f>IFERROR(VLOOKUP($C283,'Test Library'!$A:$P,14,FALSE),"")</f>
        <v>Yes</v>
      </c>
      <c r="Q283" s="14"/>
    </row>
    <row r="284">
      <c r="A284" s="14" t="inlineStr">
        <is>
          <t xml:space="preserve">BETARUN-0304</t>
        </is>
      </c>
      <c r="B284" s="14" t="inlineStr">
        <is>
          <t xml:space="preserve">Beta Release</t>
        </is>
      </c>
      <c r="C284" s="14" t="inlineStr">
        <is>
          <t xml:space="preserve">RR-0304</t>
        </is>
      </c>
      <c r="D284" s="14" t="str">
        <f>IFERROR(VLOOKUP($C284,'Test Library'!$A:$P,2,FALSE),"")</f>
        <v>Billing &amp; Stripe</v>
      </c>
      <c r="E284" s="14" t="str">
        <f>IFERROR(VLOOKUP($C284,'Test Library'!$A:$P,3,FALSE),"")</f>
        <v>Trials, subscriptions and invoices</v>
      </c>
      <c r="F284" s="14" t="str">
        <f>IFERROR(VLOOKUP($C284,'Test Library'!$A:$P,5,FALSE),"")</f>
        <v>Webhook signature is invalid</v>
      </c>
      <c r="G284" s="14" t="str">
        <f>IFERROR(VLOOKUP($C284,'Test Library'!$A:$P,6,FALSE),"")</f>
        <v>Critical</v>
      </c>
      <c r="H284" s="14" t="inlineStr">
        <is>
          <t xml:space="preserve">Staging</t>
        </is>
      </c>
      <c r="I284" s="14" t="inlineStr">
        <is>
          <t xml:space="preserve">Not Run</t>
        </is>
      </c>
      <c r="J284" s="14"/>
      <c r="K284" s="17"/>
      <c r="L284" s="14"/>
      <c r="M284" s="14"/>
      <c r="N284" s="14"/>
      <c r="O284" s="14" t="inlineStr">
        <is>
          <t xml:space="preserve">Not Required</t>
        </is>
      </c>
      <c r="P284" s="14" t="str">
        <f>IFERROR(VLOOKUP($C284,'Test Library'!$A:$P,14,FALSE),"")</f>
        <v>Yes</v>
      </c>
      <c r="Q284" s="14"/>
    </row>
    <row r="285">
      <c r="A285" s="14" t="inlineStr">
        <is>
          <t xml:space="preserve">BETARUN-0305</t>
        </is>
      </c>
      <c r="B285" s="14" t="inlineStr">
        <is>
          <t xml:space="preserve">Beta Release</t>
        </is>
      </c>
      <c r="C285" s="14" t="inlineStr">
        <is>
          <t xml:space="preserve">RR-0305</t>
        </is>
      </c>
      <c r="D285" s="14" t="str">
        <f>IFERROR(VLOOKUP($C285,'Test Library'!$A:$P,2,FALSE),"")</f>
        <v>Billing &amp; Stripe</v>
      </c>
      <c r="E285" s="14" t="str">
        <f>IFERROR(VLOOKUP($C285,'Test Library'!$A:$P,3,FALSE),"")</f>
        <v>Employee-based billing</v>
      </c>
      <c r="F285" s="14" t="str">
        <f>IFERROR(VLOOKUP($C285,'Test Library'!$A:$P,5,FALSE),"")</f>
        <v>Location has 10 billable employees</v>
      </c>
      <c r="G285" s="14" t="str">
        <f>IFERROR(VLOOKUP($C285,'Test Library'!$A:$P,6,FALSE),"")</f>
        <v>Critical</v>
      </c>
      <c r="H285" s="14" t="inlineStr">
        <is>
          <t xml:space="preserve">Staging</t>
        </is>
      </c>
      <c r="I285" s="14" t="inlineStr">
        <is>
          <t xml:space="preserve">Not Run</t>
        </is>
      </c>
      <c r="J285" s="14"/>
      <c r="K285" s="17"/>
      <c r="L285" s="14"/>
      <c r="M285" s="14"/>
      <c r="N285" s="14"/>
      <c r="O285" s="14" t="inlineStr">
        <is>
          <t xml:space="preserve">Not Required</t>
        </is>
      </c>
      <c r="P285" s="14" t="str">
        <f>IFERROR(VLOOKUP($C285,'Test Library'!$A:$P,14,FALSE),"")</f>
        <v>Yes</v>
      </c>
      <c r="Q285" s="14"/>
    </row>
    <row r="286">
      <c r="A286" s="14" t="inlineStr">
        <is>
          <t xml:space="preserve">BETARUN-0306</t>
        </is>
      </c>
      <c r="B286" s="14" t="inlineStr">
        <is>
          <t xml:space="preserve">Beta Release</t>
        </is>
      </c>
      <c r="C286" s="14" t="inlineStr">
        <is>
          <t xml:space="preserve">RR-0306</t>
        </is>
      </c>
      <c r="D286" s="14" t="str">
        <f>IFERROR(VLOOKUP($C286,'Test Library'!$A:$P,2,FALSE),"")</f>
        <v>Billing &amp; Stripe</v>
      </c>
      <c r="E286" s="14" t="str">
        <f>IFERROR(VLOOKUP($C286,'Test Library'!$A:$P,3,FALSE),"")</f>
        <v>Employee-based billing</v>
      </c>
      <c r="F286" s="14" t="str">
        <f>IFERROR(VLOOKUP($C286,'Test Library'!$A:$P,5,FALSE),"")</f>
        <v>Location has 11 billable employees</v>
      </c>
      <c r="G286" s="14" t="str">
        <f>IFERROR(VLOOKUP($C286,'Test Library'!$A:$P,6,FALSE),"")</f>
        <v>Critical</v>
      </c>
      <c r="H286" s="14" t="inlineStr">
        <is>
          <t xml:space="preserve">Staging</t>
        </is>
      </c>
      <c r="I286" s="14" t="inlineStr">
        <is>
          <t xml:space="preserve">Not Run</t>
        </is>
      </c>
      <c r="J286" s="14"/>
      <c r="K286" s="17"/>
      <c r="L286" s="14"/>
      <c r="M286" s="14"/>
      <c r="N286" s="14"/>
      <c r="O286" s="14" t="inlineStr">
        <is>
          <t xml:space="preserve">Not Required</t>
        </is>
      </c>
      <c r="P286" s="14" t="str">
        <f>IFERROR(VLOOKUP($C286,'Test Library'!$A:$P,14,FALSE),"")</f>
        <v>Yes</v>
      </c>
      <c r="Q286" s="14"/>
    </row>
    <row r="287">
      <c r="A287" s="14" t="inlineStr">
        <is>
          <t xml:space="preserve">BETARUN-0307</t>
        </is>
      </c>
      <c r="B287" s="14" t="inlineStr">
        <is>
          <t xml:space="preserve">Beta Release</t>
        </is>
      </c>
      <c r="C287" s="14" t="inlineStr">
        <is>
          <t xml:space="preserve">RR-0307</t>
        </is>
      </c>
      <c r="D287" s="14" t="str">
        <f>IFERROR(VLOOKUP($C287,'Test Library'!$A:$P,2,FALSE),"")</f>
        <v>Billing &amp; Stripe</v>
      </c>
      <c r="E287" s="14" t="str">
        <f>IFERROR(VLOOKUP($C287,'Test Library'!$A:$P,3,FALSE),"")</f>
        <v>Employee-based billing</v>
      </c>
      <c r="F287" s="14" t="str">
        <f>IFERROR(VLOOKUP($C287,'Test Library'!$A:$P,5,FALSE),"")</f>
        <v>Employee is active but never assigned a shift before billing date</v>
      </c>
      <c r="G287" s="14" t="str">
        <f>IFERROR(VLOOKUP($C287,'Test Library'!$A:$P,6,FALSE),"")</f>
        <v>Critical</v>
      </c>
      <c r="H287" s="14" t="inlineStr">
        <is>
          <t xml:space="preserve">Staging</t>
        </is>
      </c>
      <c r="I287" s="14" t="inlineStr">
        <is>
          <t xml:space="preserve">Not Run</t>
        </is>
      </c>
      <c r="J287" s="14"/>
      <c r="K287" s="17"/>
      <c r="L287" s="14"/>
      <c r="M287" s="14"/>
      <c r="N287" s="14"/>
      <c r="O287" s="14" t="inlineStr">
        <is>
          <t xml:space="preserve">Not Required</t>
        </is>
      </c>
      <c r="P287" s="14" t="str">
        <f>IFERROR(VLOOKUP($C287,'Test Library'!$A:$P,14,FALSE),"")</f>
        <v>Yes</v>
      </c>
      <c r="Q287" s="14"/>
    </row>
    <row r="288">
      <c r="A288" s="14" t="inlineStr">
        <is>
          <t xml:space="preserve">BETARUN-0308</t>
        </is>
      </c>
      <c r="B288" s="14" t="inlineStr">
        <is>
          <t xml:space="preserve">Beta Release</t>
        </is>
      </c>
      <c r="C288" s="14" t="inlineStr">
        <is>
          <t xml:space="preserve">RR-0308</t>
        </is>
      </c>
      <c r="D288" s="14" t="str">
        <f>IFERROR(VLOOKUP($C288,'Test Library'!$A:$P,2,FALSE),"")</f>
        <v>Billing &amp; Stripe</v>
      </c>
      <c r="E288" s="14" t="str">
        <f>IFERROR(VLOOKUP($C288,'Test Library'!$A:$P,3,FALSE),"")</f>
        <v>Employee-based billing</v>
      </c>
      <c r="F288" s="14" t="str">
        <f>IFERROR(VLOOKUP($C288,'Test Library'!$A:$P,5,FALSE),"")</f>
        <v>Employee receives a shift before billing date</v>
      </c>
      <c r="G288" s="14" t="str">
        <f>IFERROR(VLOOKUP($C288,'Test Library'!$A:$P,6,FALSE),"")</f>
        <v>Critical</v>
      </c>
      <c r="H288" s="14" t="inlineStr">
        <is>
          <t xml:space="preserve">Staging</t>
        </is>
      </c>
      <c r="I288" s="14" t="inlineStr">
        <is>
          <t xml:space="preserve">Not Run</t>
        </is>
      </c>
      <c r="J288" s="14"/>
      <c r="K288" s="17"/>
      <c r="L288" s="14"/>
      <c r="M288" s="14"/>
      <c r="N288" s="14"/>
      <c r="O288" s="14" t="inlineStr">
        <is>
          <t xml:space="preserve">Not Required</t>
        </is>
      </c>
      <c r="P288" s="14" t="str">
        <f>IFERROR(VLOOKUP($C288,'Test Library'!$A:$P,14,FALSE),"")</f>
        <v>Yes</v>
      </c>
      <c r="Q288" s="14"/>
    </row>
    <row r="289">
      <c r="A289" s="14" t="inlineStr">
        <is>
          <t xml:space="preserve">BETARUN-0309</t>
        </is>
      </c>
      <c r="B289" s="14" t="inlineStr">
        <is>
          <t xml:space="preserve">Beta Release</t>
        </is>
      </c>
      <c r="C289" s="14" t="inlineStr">
        <is>
          <t xml:space="preserve">RR-0309</t>
        </is>
      </c>
      <c r="D289" s="14" t="str">
        <f>IFERROR(VLOOKUP($C289,'Test Library'!$A:$P,2,FALSE),"")</f>
        <v>Billing &amp; Stripe</v>
      </c>
      <c r="E289" s="14" t="str">
        <f>IFERROR(VLOOKUP($C289,'Test Library'!$A:$P,3,FALSE),"")</f>
        <v>Employee-based billing</v>
      </c>
      <c r="F289" s="14" t="str">
        <f>IFERROR(VLOOKUP($C289,'Test Library'!$A:$P,5,FALSE),"")</f>
        <v>Employee is deactivated after working since last billing date</v>
      </c>
      <c r="G289" s="14" t="str">
        <f>IFERROR(VLOOKUP($C289,'Test Library'!$A:$P,6,FALSE),"")</f>
        <v>Critical</v>
      </c>
      <c r="H289" s="14" t="inlineStr">
        <is>
          <t xml:space="preserve">Staging</t>
        </is>
      </c>
      <c r="I289" s="14" t="inlineStr">
        <is>
          <t xml:space="preserve">Not Run</t>
        </is>
      </c>
      <c r="J289" s="14"/>
      <c r="K289" s="17"/>
      <c r="L289" s="14"/>
      <c r="M289" s="14"/>
      <c r="N289" s="14"/>
      <c r="O289" s="14" t="inlineStr">
        <is>
          <t xml:space="preserve">Not Required</t>
        </is>
      </c>
      <c r="P289" s="14" t="str">
        <f>IFERROR(VLOOKUP($C289,'Test Library'!$A:$P,14,FALSE),"")</f>
        <v>Yes</v>
      </c>
      <c r="Q289" s="14"/>
    </row>
    <row r="290">
      <c r="A290" s="14" t="inlineStr">
        <is>
          <t xml:space="preserve">BETARUN-0310</t>
        </is>
      </c>
      <c r="B290" s="14" t="inlineStr">
        <is>
          <t xml:space="preserve">Beta Release</t>
        </is>
      </c>
      <c r="C290" s="14" t="inlineStr">
        <is>
          <t xml:space="preserve">RR-0310</t>
        </is>
      </c>
      <c r="D290" s="14" t="str">
        <f>IFERROR(VLOOKUP($C290,'Test Library'!$A:$P,2,FALSE),"")</f>
        <v>Billing &amp; Stripe</v>
      </c>
      <c r="E290" s="14" t="str">
        <f>IFERROR(VLOOKUP($C290,'Test Library'!$A:$P,3,FALSE),"")</f>
        <v>Employee-based billing</v>
      </c>
      <c r="F290" s="14" t="str">
        <f>IFERROR(VLOOKUP($C290,'Test Library'!$A:$P,5,FALSE),"")</f>
        <v>Employee is deactivated everywhere with no shifts since last billing date</v>
      </c>
      <c r="G290" s="14" t="str">
        <f>IFERROR(VLOOKUP($C290,'Test Library'!$A:$P,6,FALSE),"")</f>
        <v>Critical</v>
      </c>
      <c r="H290" s="14" t="inlineStr">
        <is>
          <t xml:space="preserve">Staging</t>
        </is>
      </c>
      <c r="I290" s="14" t="inlineStr">
        <is>
          <t xml:space="preserve">Not Run</t>
        </is>
      </c>
      <c r="J290" s="14"/>
      <c r="K290" s="17"/>
      <c r="L290" s="14"/>
      <c r="M290" s="14"/>
      <c r="N290" s="14"/>
      <c r="O290" s="14" t="inlineStr">
        <is>
          <t xml:space="preserve">Not Required</t>
        </is>
      </c>
      <c r="P290" s="14" t="str">
        <f>IFERROR(VLOOKUP($C290,'Test Library'!$A:$P,14,FALSE),"")</f>
        <v>Yes</v>
      </c>
      <c r="Q290" s="14"/>
    </row>
    <row r="291">
      <c r="A291" s="14" t="inlineStr">
        <is>
          <t xml:space="preserve">BETARUN-0311</t>
        </is>
      </c>
      <c r="B291" s="14" t="inlineStr">
        <is>
          <t xml:space="preserve">Beta Release</t>
        </is>
      </c>
      <c r="C291" s="14" t="inlineStr">
        <is>
          <t xml:space="preserve">RR-0311</t>
        </is>
      </c>
      <c r="D291" s="14" t="str">
        <f>IFERROR(VLOOKUP($C291,'Test Library'!$A:$P,2,FALSE),"")</f>
        <v>Billing &amp; Stripe</v>
      </c>
      <c r="E291" s="14" t="str">
        <f>IFERROR(VLOOKUP($C291,'Test Library'!$A:$P,3,FALSE),"")</f>
        <v>Employee-based billing</v>
      </c>
      <c r="F291" s="14" t="str">
        <f>IFERROR(VLOOKUP($C291,'Test Library'!$A:$P,5,FALSE),"")</f>
        <v>Employee works at two locations</v>
      </c>
      <c r="G291" s="14" t="str">
        <f>IFERROR(VLOOKUP($C291,'Test Library'!$A:$P,6,FALSE),"")</f>
        <v>Critical</v>
      </c>
      <c r="H291" s="14" t="inlineStr">
        <is>
          <t xml:space="preserve">Staging</t>
        </is>
      </c>
      <c r="I291" s="14" t="inlineStr">
        <is>
          <t xml:space="preserve">Not Run</t>
        </is>
      </c>
      <c r="J291" s="14"/>
      <c r="K291" s="17"/>
      <c r="L291" s="14"/>
      <c r="M291" s="14"/>
      <c r="N291" s="14"/>
      <c r="O291" s="14" t="inlineStr">
        <is>
          <t xml:space="preserve">Not Required</t>
        </is>
      </c>
      <c r="P291" s="14" t="str">
        <f>IFERROR(VLOOKUP($C291,'Test Library'!$A:$P,14,FALSE),"")</f>
        <v>Yes</v>
      </c>
      <c r="Q291" s="14"/>
    </row>
    <row r="292">
      <c r="A292" s="14" t="inlineStr">
        <is>
          <t xml:space="preserve">BETARUN-0312</t>
        </is>
      </c>
      <c r="B292" s="14" t="inlineStr">
        <is>
          <t xml:space="preserve">Beta Release</t>
        </is>
      </c>
      <c r="C292" s="14" t="inlineStr">
        <is>
          <t xml:space="preserve">RR-0312</t>
        </is>
      </c>
      <c r="D292" s="14" t="str">
        <f>IFERROR(VLOOKUP($C292,'Test Library'!$A:$P,2,FALSE),"")</f>
        <v>Billing &amp; Stripe</v>
      </c>
      <c r="E292" s="14" t="str">
        <f>IFERROR(VLOOKUP($C292,'Test Library'!$A:$P,3,FALSE),"")</f>
        <v>Employee-based billing</v>
      </c>
      <c r="F292" s="14" t="str">
        <f>IFERROR(VLOOKUP($C292,'Test Library'!$A:$P,5,FALSE),"")</f>
        <v>Cross-location shift is assigned</v>
      </c>
      <c r="G292" s="14" t="str">
        <f>IFERROR(VLOOKUP($C292,'Test Library'!$A:$P,6,FALSE),"")</f>
        <v>Critical</v>
      </c>
      <c r="H292" s="14" t="inlineStr">
        <is>
          <t xml:space="preserve">Staging</t>
        </is>
      </c>
      <c r="I292" s="14" t="inlineStr">
        <is>
          <t xml:space="preserve">Not Run</t>
        </is>
      </c>
      <c r="J292" s="14"/>
      <c r="K292" s="17"/>
      <c r="L292" s="14"/>
      <c r="M292" s="14"/>
      <c r="N292" s="14"/>
      <c r="O292" s="14" t="inlineStr">
        <is>
          <t xml:space="preserve">Not Required</t>
        </is>
      </c>
      <c r="P292" s="14" t="str">
        <f>IFERROR(VLOOKUP($C292,'Test Library'!$A:$P,14,FALSE),"")</f>
        <v>Yes</v>
      </c>
      <c r="Q292" s="14"/>
    </row>
    <row r="293">
      <c r="A293" s="14" t="inlineStr">
        <is>
          <t xml:space="preserve">BETARUN-0313</t>
        </is>
      </c>
      <c r="B293" s="14" t="inlineStr">
        <is>
          <t xml:space="preserve">Beta Release</t>
        </is>
      </c>
      <c r="C293" s="14" t="inlineStr">
        <is>
          <t xml:space="preserve">RR-0313</t>
        </is>
      </c>
      <c r="D293" s="14" t="str">
        <f>IFERROR(VLOOKUP($C293,'Test Library'!$A:$P,2,FALSE),"")</f>
        <v>Billing &amp; Stripe</v>
      </c>
      <c r="E293" s="14" t="str">
        <f>IFERROR(VLOOKUP($C293,'Test Library'!$A:$P,3,FALSE),"")</f>
        <v>Employee-based billing</v>
      </c>
      <c r="F293" s="14" t="str">
        <f>IFERROR(VLOOKUP($C293,'Test Library'!$A:$P,5,FALSE),"")</f>
        <v>Employee is added and removed before receiving any shift</v>
      </c>
      <c r="G293" s="14" t="str">
        <f>IFERROR(VLOOKUP($C293,'Test Library'!$A:$P,6,FALSE),"")</f>
        <v>High</v>
      </c>
      <c r="H293" s="14" t="inlineStr">
        <is>
          <t xml:space="preserve">Staging</t>
        </is>
      </c>
      <c r="I293" s="14" t="inlineStr">
        <is>
          <t xml:space="preserve">Not Run</t>
        </is>
      </c>
      <c r="J293" s="14"/>
      <c r="K293" s="17"/>
      <c r="L293" s="14"/>
      <c r="M293" s="14"/>
      <c r="N293" s="14"/>
      <c r="O293" s="14" t="inlineStr">
        <is>
          <t xml:space="preserve">Not Required</t>
        </is>
      </c>
      <c r="P293" s="14" t="str">
        <f>IFERROR(VLOOKUP($C293,'Test Library'!$A:$P,14,FALSE),"")</f>
        <v>Yes</v>
      </c>
      <c r="Q293" s="14"/>
    </row>
    <row r="294">
      <c r="A294" s="14" t="inlineStr">
        <is>
          <t xml:space="preserve">BETARUN-0314</t>
        </is>
      </c>
      <c r="B294" s="14" t="inlineStr">
        <is>
          <t xml:space="preserve">Beta Release</t>
        </is>
      </c>
      <c r="C294" s="14" t="inlineStr">
        <is>
          <t xml:space="preserve">RR-0314</t>
        </is>
      </c>
      <c r="D294" s="14" t="str">
        <f>IFERROR(VLOOKUP($C294,'Test Library'!$A:$P,2,FALSE),"")</f>
        <v>Billing &amp; Stripe</v>
      </c>
      <c r="E294" s="14" t="str">
        <f>IFERROR(VLOOKUP($C294,'Test Library'!$A:$P,3,FALSE),"")</f>
        <v>Employee-based billing</v>
      </c>
      <c r="F294" s="14" t="str">
        <f>IFERROR(VLOOKUP($C294,'Test Library'!$A:$P,5,FALSE),"")</f>
        <v>Billable employee count changes near invoice cutoff</v>
      </c>
      <c r="G294" s="14" t="str">
        <f>IFERROR(VLOOKUP($C294,'Test Library'!$A:$P,6,FALSE),"")</f>
        <v>Critical</v>
      </c>
      <c r="H294" s="14" t="inlineStr">
        <is>
          <t xml:space="preserve">Staging</t>
        </is>
      </c>
      <c r="I294" s="14" t="inlineStr">
        <is>
          <t xml:space="preserve">Not Run</t>
        </is>
      </c>
      <c r="J294" s="14"/>
      <c r="K294" s="17"/>
      <c r="L294" s="14"/>
      <c r="M294" s="14"/>
      <c r="N294" s="14"/>
      <c r="O294" s="14" t="inlineStr">
        <is>
          <t xml:space="preserve">Not Required</t>
        </is>
      </c>
      <c r="P294" s="14" t="str">
        <f>IFERROR(VLOOKUP($C294,'Test Library'!$A:$P,14,FALSE),"")</f>
        <v>Yes</v>
      </c>
      <c r="Q294" s="14"/>
    </row>
    <row r="295">
      <c r="A295" s="14" t="inlineStr">
        <is>
          <t xml:space="preserve">BETARUN-0315</t>
        </is>
      </c>
      <c r="B295" s="14" t="inlineStr">
        <is>
          <t xml:space="preserve">Beta Release</t>
        </is>
      </c>
      <c r="C295" s="14" t="inlineStr">
        <is>
          <t xml:space="preserve">RR-0315</t>
        </is>
      </c>
      <c r="D295" s="14" t="str">
        <f>IFERROR(VLOOKUP($C295,'Test Library'!$A:$P,2,FALSE),"")</f>
        <v>Billing &amp; Stripe</v>
      </c>
      <c r="E295" s="14" t="str">
        <f>IFERROR(VLOOKUP($C295,'Test Library'!$A:$P,3,FALSE),"")</f>
        <v>T&amp;A add-on and payment recovery</v>
      </c>
      <c r="F295" s="14" t="str">
        <f>IFERROR(VLOOKUP($C295,'Test Library'!$A:$P,5,FALSE),"")</f>
        <v>Enable T&amp;A for one of several locations</v>
      </c>
      <c r="G295" s="14" t="str">
        <f>IFERROR(VLOOKUP($C295,'Test Library'!$A:$P,6,FALSE),"")</f>
        <v>Critical</v>
      </c>
      <c r="H295" s="14" t="inlineStr">
        <is>
          <t xml:space="preserve">Staging</t>
        </is>
      </c>
      <c r="I295" s="14" t="inlineStr">
        <is>
          <t xml:space="preserve">Not Run</t>
        </is>
      </c>
      <c r="J295" s="14"/>
      <c r="K295" s="17"/>
      <c r="L295" s="14"/>
      <c r="M295" s="14"/>
      <c r="N295" s="14"/>
      <c r="O295" s="14" t="inlineStr">
        <is>
          <t xml:space="preserve">Not Required</t>
        </is>
      </c>
      <c r="P295" s="14" t="str">
        <f>IFERROR(VLOOKUP($C295,'Test Library'!$A:$P,14,FALSE),"")</f>
        <v>Yes</v>
      </c>
      <c r="Q295" s="14"/>
    </row>
    <row r="296">
      <c r="A296" s="14" t="inlineStr">
        <is>
          <t xml:space="preserve">BETARUN-0316</t>
        </is>
      </c>
      <c r="B296" s="14" t="inlineStr">
        <is>
          <t xml:space="preserve">Beta Release</t>
        </is>
      </c>
      <c r="C296" s="14" t="inlineStr">
        <is>
          <t xml:space="preserve">RR-0316</t>
        </is>
      </c>
      <c r="D296" s="14" t="str">
        <f>IFERROR(VLOOKUP($C296,'Test Library'!$A:$P,2,FALSE),"")</f>
        <v>Billing &amp; Stripe</v>
      </c>
      <c r="E296" s="14" t="str">
        <f>IFERROR(VLOOKUP($C296,'Test Library'!$A:$P,3,FALSE),"")</f>
        <v>T&amp;A add-on and payment recovery</v>
      </c>
      <c r="F296" s="14" t="str">
        <f>IFERROR(VLOOKUP($C296,'Test Library'!$A:$P,5,FALSE),"")</f>
        <v>Employee works in T&amp;A and non-T&amp;A locations</v>
      </c>
      <c r="G296" s="14" t="str">
        <f>IFERROR(VLOOKUP($C296,'Test Library'!$A:$P,6,FALSE),"")</f>
        <v>Critical</v>
      </c>
      <c r="H296" s="14" t="inlineStr">
        <is>
          <t xml:space="preserve">Staging</t>
        </is>
      </c>
      <c r="I296" s="14" t="inlineStr">
        <is>
          <t xml:space="preserve">Not Run</t>
        </is>
      </c>
      <c r="J296" s="14"/>
      <c r="K296" s="17"/>
      <c r="L296" s="14"/>
      <c r="M296" s="14"/>
      <c r="N296" s="14"/>
      <c r="O296" s="14" t="inlineStr">
        <is>
          <t xml:space="preserve">Not Required</t>
        </is>
      </c>
      <c r="P296" s="14" t="str">
        <f>IFERROR(VLOOKUP($C296,'Test Library'!$A:$P,14,FALSE),"")</f>
        <v>Yes</v>
      </c>
      <c r="Q296" s="14"/>
    </row>
    <row r="297">
      <c r="A297" s="14" t="inlineStr">
        <is>
          <t xml:space="preserve">BETARUN-0317</t>
        </is>
      </c>
      <c r="B297" s="14" t="inlineStr">
        <is>
          <t xml:space="preserve">Beta Release</t>
        </is>
      </c>
      <c r="C297" s="14" t="inlineStr">
        <is>
          <t xml:space="preserve">RR-0317</t>
        </is>
      </c>
      <c r="D297" s="14" t="str">
        <f>IFERROR(VLOOKUP($C297,'Test Library'!$A:$P,2,FALSE),"")</f>
        <v>Billing &amp; Stripe</v>
      </c>
      <c r="E297" s="14" t="str">
        <f>IFERROR(VLOOKUP($C297,'Test Library'!$A:$P,3,FALSE),"")</f>
        <v>T&amp;A add-on and payment recovery</v>
      </c>
      <c r="F297" s="14" t="str">
        <f>IFERROR(VLOOKUP($C297,'Test Library'!$A:$P,5,FALSE),"")</f>
        <v>Activate station mid-cycle</v>
      </c>
      <c r="G297" s="14" t="str">
        <f>IFERROR(VLOOKUP($C297,'Test Library'!$A:$P,6,FALSE),"")</f>
        <v>Critical</v>
      </c>
      <c r="H297" s="14" t="inlineStr">
        <is>
          <t xml:space="preserve">Staging</t>
        </is>
      </c>
      <c r="I297" s="14" t="inlineStr">
        <is>
          <t xml:space="preserve">Not Run</t>
        </is>
      </c>
      <c r="J297" s="14"/>
      <c r="K297" s="17"/>
      <c r="L297" s="14"/>
      <c r="M297" s="14"/>
      <c r="N297" s="14"/>
      <c r="O297" s="14" t="inlineStr">
        <is>
          <t xml:space="preserve">Not Required</t>
        </is>
      </c>
      <c r="P297" s="14" t="str">
        <f>IFERROR(VLOOKUP($C297,'Test Library'!$A:$P,14,FALSE),"")</f>
        <v>Yes</v>
      </c>
      <c r="Q297" s="14"/>
    </row>
    <row r="298">
      <c r="A298" s="14" t="inlineStr">
        <is>
          <t xml:space="preserve">BETARUN-0318</t>
        </is>
      </c>
      <c r="B298" s="14" t="inlineStr">
        <is>
          <t xml:space="preserve">Beta Release</t>
        </is>
      </c>
      <c r="C298" s="14" t="inlineStr">
        <is>
          <t xml:space="preserve">RR-0318</t>
        </is>
      </c>
      <c r="D298" s="14" t="str">
        <f>IFERROR(VLOOKUP($C298,'Test Library'!$A:$P,2,FALSE),"")</f>
        <v>Billing &amp; Stripe</v>
      </c>
      <c r="E298" s="14" t="str">
        <f>IFERROR(VLOOKUP($C298,'Test Library'!$A:$P,3,FALSE),"")</f>
        <v>T&amp;A add-on and payment recovery</v>
      </c>
      <c r="F298" s="14" t="str">
        <f>IFERROR(VLOOKUP($C298,'Test Library'!$A:$P,5,FALSE),"")</f>
        <v>Cancel T&amp;A mid-cycle</v>
      </c>
      <c r="G298" s="14" t="str">
        <f>IFERROR(VLOOKUP($C298,'Test Library'!$A:$P,6,FALSE),"")</f>
        <v>Critical</v>
      </c>
      <c r="H298" s="14" t="inlineStr">
        <is>
          <t xml:space="preserve">Staging</t>
        </is>
      </c>
      <c r="I298" s="14" t="inlineStr">
        <is>
          <t xml:space="preserve">Not Run</t>
        </is>
      </c>
      <c r="J298" s="14"/>
      <c r="K298" s="17"/>
      <c r="L298" s="14"/>
      <c r="M298" s="14"/>
      <c r="N298" s="14"/>
      <c r="O298" s="14" t="inlineStr">
        <is>
          <t xml:space="preserve">Not Required</t>
        </is>
      </c>
      <c r="P298" s="14" t="str">
        <f>IFERROR(VLOOKUP($C298,'Test Library'!$A:$P,14,FALSE),"")</f>
        <v>Yes</v>
      </c>
      <c r="Q298" s="14"/>
    </row>
    <row r="299">
      <c r="A299" s="14" t="inlineStr">
        <is>
          <t xml:space="preserve">BETARUN-0319</t>
        </is>
      </c>
      <c r="B299" s="14" t="inlineStr">
        <is>
          <t xml:space="preserve">Beta Release</t>
        </is>
      </c>
      <c r="C299" s="14" t="inlineStr">
        <is>
          <t xml:space="preserve">RR-0319</t>
        </is>
      </c>
      <c r="D299" s="14" t="str">
        <f>IFERROR(VLOOKUP($C299,'Test Library'!$A:$P,2,FALSE),"")</f>
        <v>Billing &amp; Stripe</v>
      </c>
      <c r="E299" s="14" t="str">
        <f>IFERROR(VLOOKUP($C299,'Test Library'!$A:$P,3,FALSE),"")</f>
        <v>T&amp;A add-on and payment recovery</v>
      </c>
      <c r="F299" s="14" t="str">
        <f>IFERROR(VLOOKUP($C299,'Test Library'!$A:$P,5,FALSE),"")</f>
        <v>Payment succeeds</v>
      </c>
      <c r="G299" s="14" t="str">
        <f>IFERROR(VLOOKUP($C299,'Test Library'!$A:$P,6,FALSE),"")</f>
        <v>Critical</v>
      </c>
      <c r="H299" s="14" t="inlineStr">
        <is>
          <t xml:space="preserve">Staging</t>
        </is>
      </c>
      <c r="I299" s="14" t="inlineStr">
        <is>
          <t xml:space="preserve">Not Run</t>
        </is>
      </c>
      <c r="J299" s="14"/>
      <c r="K299" s="17"/>
      <c r="L299" s="14"/>
      <c r="M299" s="14"/>
      <c r="N299" s="14"/>
      <c r="O299" s="14" t="inlineStr">
        <is>
          <t xml:space="preserve">Not Required</t>
        </is>
      </c>
      <c r="P299" s="14" t="str">
        <f>IFERROR(VLOOKUP($C299,'Test Library'!$A:$P,14,FALSE),"")</f>
        <v>Yes</v>
      </c>
      <c r="Q299" s="14"/>
    </row>
    <row r="300">
      <c r="A300" s="14" t="inlineStr">
        <is>
          <t xml:space="preserve">BETARUN-0320</t>
        </is>
      </c>
      <c r="B300" s="14" t="inlineStr">
        <is>
          <t xml:space="preserve">Beta Release</t>
        </is>
      </c>
      <c r="C300" s="14" t="inlineStr">
        <is>
          <t xml:space="preserve">RR-0320</t>
        </is>
      </c>
      <c r="D300" s="14" t="str">
        <f>IFERROR(VLOOKUP($C300,'Test Library'!$A:$P,2,FALSE),"")</f>
        <v>Billing &amp; Stripe</v>
      </c>
      <c r="E300" s="14" t="str">
        <f>IFERROR(VLOOKUP($C300,'Test Library'!$A:$P,3,FALSE),"")</f>
        <v>T&amp;A add-on and payment recovery</v>
      </c>
      <c r="F300" s="14" t="str">
        <f>IFERROR(VLOOKUP($C300,'Test Library'!$A:$P,5,FALSE),"")</f>
        <v>Initial payment fails</v>
      </c>
      <c r="G300" s="14" t="str">
        <f>IFERROR(VLOOKUP($C300,'Test Library'!$A:$P,6,FALSE),"")</f>
        <v>Critical</v>
      </c>
      <c r="H300" s="14" t="inlineStr">
        <is>
          <t xml:space="preserve">Staging</t>
        </is>
      </c>
      <c r="I300" s="14" t="inlineStr">
        <is>
          <t xml:space="preserve">Not Run</t>
        </is>
      </c>
      <c r="J300" s="14"/>
      <c r="K300" s="17"/>
      <c r="L300" s="14"/>
      <c r="M300" s="14"/>
      <c r="N300" s="14"/>
      <c r="O300" s="14" t="inlineStr">
        <is>
          <t xml:space="preserve">Not Required</t>
        </is>
      </c>
      <c r="P300" s="14" t="str">
        <f>IFERROR(VLOOKUP($C300,'Test Library'!$A:$P,14,FALSE),"")</f>
        <v>Yes</v>
      </c>
      <c r="Q300" s="14"/>
    </row>
    <row r="301">
      <c r="A301" s="14" t="inlineStr">
        <is>
          <t xml:space="preserve">BETARUN-0321</t>
        </is>
      </c>
      <c r="B301" s="14" t="inlineStr">
        <is>
          <t xml:space="preserve">Beta Release</t>
        </is>
      </c>
      <c r="C301" s="14" t="inlineStr">
        <is>
          <t xml:space="preserve">RR-0321</t>
        </is>
      </c>
      <c r="D301" s="14" t="str">
        <f>IFERROR(VLOOKUP($C301,'Test Library'!$A:$P,2,FALSE),"")</f>
        <v>Billing &amp; Stripe</v>
      </c>
      <c r="E301" s="14" t="str">
        <f>IFERROR(VLOOKUP($C301,'Test Library'!$A:$P,3,FALSE),"")</f>
        <v>T&amp;A add-on and payment recovery</v>
      </c>
      <c r="F301" s="14" t="str">
        <f>IFERROR(VLOOKUP($C301,'Test Library'!$A:$P,5,FALSE),"")</f>
        <v>Retry payment succeeds during grace period</v>
      </c>
      <c r="G301" s="14" t="str">
        <f>IFERROR(VLOOKUP($C301,'Test Library'!$A:$P,6,FALSE),"")</f>
        <v>Critical</v>
      </c>
      <c r="H301" s="14" t="inlineStr">
        <is>
          <t xml:space="preserve">Staging</t>
        </is>
      </c>
      <c r="I301" s="14" t="inlineStr">
        <is>
          <t xml:space="preserve">Not Run</t>
        </is>
      </c>
      <c r="J301" s="14"/>
      <c r="K301" s="17"/>
      <c r="L301" s="14"/>
      <c r="M301" s="14"/>
      <c r="N301" s="14"/>
      <c r="O301" s="14" t="inlineStr">
        <is>
          <t xml:space="preserve">Not Required</t>
        </is>
      </c>
      <c r="P301" s="14" t="str">
        <f>IFERROR(VLOOKUP($C301,'Test Library'!$A:$P,14,FALSE),"")</f>
        <v>Yes</v>
      </c>
      <c r="Q301" s="14"/>
    </row>
    <row r="302">
      <c r="A302" s="14" t="inlineStr">
        <is>
          <t xml:space="preserve">BETARUN-0322</t>
        </is>
      </c>
      <c r="B302" s="14" t="inlineStr">
        <is>
          <t xml:space="preserve">Beta Release</t>
        </is>
      </c>
      <c r="C302" s="14" t="inlineStr">
        <is>
          <t xml:space="preserve">RR-0322</t>
        </is>
      </c>
      <c r="D302" s="14" t="str">
        <f>IFERROR(VLOOKUP($C302,'Test Library'!$A:$P,2,FALSE),"")</f>
        <v>Billing &amp; Stripe</v>
      </c>
      <c r="E302" s="14" t="str">
        <f>IFERROR(VLOOKUP($C302,'Test Library'!$A:$P,3,FALSE),"")</f>
        <v>T&amp;A add-on and payment recovery</v>
      </c>
      <c r="F302" s="14" t="str">
        <f>IFERROR(VLOOKUP($C302,'Test Library'!$A:$P,5,FALSE),"")</f>
        <v>All retries fail</v>
      </c>
      <c r="G302" s="14" t="str">
        <f>IFERROR(VLOOKUP($C302,'Test Library'!$A:$P,6,FALSE),"")</f>
        <v>Critical</v>
      </c>
      <c r="H302" s="14" t="inlineStr">
        <is>
          <t xml:space="preserve">Staging</t>
        </is>
      </c>
      <c r="I302" s="14" t="inlineStr">
        <is>
          <t xml:space="preserve">Not Run</t>
        </is>
      </c>
      <c r="J302" s="14"/>
      <c r="K302" s="17"/>
      <c r="L302" s="14"/>
      <c r="M302" s="14"/>
      <c r="N302" s="14"/>
      <c r="O302" s="14" t="inlineStr">
        <is>
          <t xml:space="preserve">Not Required</t>
        </is>
      </c>
      <c r="P302" s="14" t="str">
        <f>IFERROR(VLOOKUP($C302,'Test Library'!$A:$P,14,FALSE),"")</f>
        <v>Yes</v>
      </c>
      <c r="Q302" s="14"/>
    </row>
    <row r="303">
      <c r="A303" s="14" t="inlineStr">
        <is>
          <t xml:space="preserve">BETARUN-0323</t>
        </is>
      </c>
      <c r="B303" s="14" t="inlineStr">
        <is>
          <t xml:space="preserve">Beta Release</t>
        </is>
      </c>
      <c r="C303" s="14" t="inlineStr">
        <is>
          <t xml:space="preserve">RR-0323</t>
        </is>
      </c>
      <c r="D303" s="14" t="str">
        <f>IFERROR(VLOOKUP($C303,'Test Library'!$A:$P,2,FALSE),"")</f>
        <v>Billing &amp; Stripe</v>
      </c>
      <c r="E303" s="14" t="str">
        <f>IFERROR(VLOOKUP($C303,'Test Library'!$A:$P,3,FALSE),"")</f>
        <v>T&amp;A add-on and payment recovery</v>
      </c>
      <c r="F303" s="14" t="str">
        <f>IFERROR(VLOOKUP($C303,'Test Library'!$A:$P,5,FALSE),"")</f>
        <v>Customer updates card after failure</v>
      </c>
      <c r="G303" s="14" t="str">
        <f>IFERROR(VLOOKUP($C303,'Test Library'!$A:$P,6,FALSE),"")</f>
        <v>High</v>
      </c>
      <c r="H303" s="14" t="inlineStr">
        <is>
          <t xml:space="preserve">Staging</t>
        </is>
      </c>
      <c r="I303" s="14" t="inlineStr">
        <is>
          <t xml:space="preserve">Not Run</t>
        </is>
      </c>
      <c r="J303" s="14"/>
      <c r="K303" s="17"/>
      <c r="L303" s="14"/>
      <c r="M303" s="14"/>
      <c r="N303" s="14"/>
      <c r="O303" s="14" t="inlineStr">
        <is>
          <t xml:space="preserve">Not Required</t>
        </is>
      </c>
      <c r="P303" s="14" t="str">
        <f>IFERROR(VLOOKUP($C303,'Test Library'!$A:$P,14,FALSE),"")</f>
        <v>Yes</v>
      </c>
      <c r="Q303" s="14"/>
    </row>
    <row r="304">
      <c r="A304" s="14" t="inlineStr">
        <is>
          <t xml:space="preserve">BETARUN-0324</t>
        </is>
      </c>
      <c r="B304" s="14" t="inlineStr">
        <is>
          <t xml:space="preserve">Beta Release</t>
        </is>
      </c>
      <c r="C304" s="14" t="inlineStr">
        <is>
          <t xml:space="preserve">RR-0324</t>
        </is>
      </c>
      <c r="D304" s="14" t="str">
        <f>IFERROR(VLOOKUP($C304,'Test Library'!$A:$P,2,FALSE),"")</f>
        <v>Billing &amp; Stripe</v>
      </c>
      <c r="E304" s="14" t="str">
        <f>IFERROR(VLOOKUP($C304,'Test Library'!$A:$P,3,FALSE),"")</f>
        <v>T&amp;A add-on and payment recovery</v>
      </c>
      <c r="F304" s="14" t="str">
        <f>IFERROR(VLOOKUP($C304,'Test Library'!$A:$P,5,FALSE),"")</f>
        <v>Stripe is temporarily unavailable during checkout</v>
      </c>
      <c r="G304" s="14" t="str">
        <f>IFERROR(VLOOKUP($C304,'Test Library'!$A:$P,6,FALSE),"")</f>
        <v>Critical</v>
      </c>
      <c r="H304" s="14" t="inlineStr">
        <is>
          <t xml:space="preserve">Staging</t>
        </is>
      </c>
      <c r="I304" s="14" t="inlineStr">
        <is>
          <t xml:space="preserve">Not Run</t>
        </is>
      </c>
      <c r="J304" s="14"/>
      <c r="K304" s="17"/>
      <c r="L304" s="14"/>
      <c r="M304" s="14"/>
      <c r="N304" s="14"/>
      <c r="O304" s="14" t="inlineStr">
        <is>
          <t xml:space="preserve">Not Required</t>
        </is>
      </c>
      <c r="P304" s="14" t="str">
        <f>IFERROR(VLOOKUP($C304,'Test Library'!$A:$P,14,FALSE),"")</f>
        <v>Yes</v>
      </c>
      <c r="Q304" s="14"/>
    </row>
    <row r="305">
      <c r="A305" s="14" t="inlineStr">
        <is>
          <t xml:space="preserve">BETARUN-0325</t>
        </is>
      </c>
      <c r="B305" s="14" t="inlineStr">
        <is>
          <t xml:space="preserve">Beta Release</t>
        </is>
      </c>
      <c r="C305" s="14" t="inlineStr">
        <is>
          <t xml:space="preserve">RR-0325</t>
        </is>
      </c>
      <c r="D305" s="14" t="str">
        <f>IFERROR(VLOOKUP($C305,'Test Library'!$A:$P,2,FALSE),"")</f>
        <v>Billing &amp; Stripe</v>
      </c>
      <c r="E305" s="14" t="str">
        <f>IFERROR(VLOOKUP($C305,'Test Library'!$A:$P,3,FALSE),"")</f>
        <v>T&amp;A add-on and payment recovery</v>
      </c>
      <c r="F305" s="14" t="str">
        <f>IFERROR(VLOOKUP($C305,'Test Library'!$A:$P,5,FALSE),"")</f>
        <v>Billing page is opened by unauthorised user</v>
      </c>
      <c r="G305" s="14" t="str">
        <f>IFERROR(VLOOKUP($C305,'Test Library'!$A:$P,6,FALSE),"")</f>
        <v>Critical</v>
      </c>
      <c r="H305" s="14" t="inlineStr">
        <is>
          <t xml:space="preserve">Staging</t>
        </is>
      </c>
      <c r="I305" s="14" t="inlineStr">
        <is>
          <t xml:space="preserve">Not Run</t>
        </is>
      </c>
      <c r="J305" s="14"/>
      <c r="K305" s="17"/>
      <c r="L305" s="14"/>
      <c r="M305" s="14"/>
      <c r="N305" s="14"/>
      <c r="O305" s="14" t="inlineStr">
        <is>
          <t xml:space="preserve">Not Required</t>
        </is>
      </c>
      <c r="P305" s="14" t="str">
        <f>IFERROR(VLOOKUP($C305,'Test Library'!$A:$P,14,FALSE),"")</f>
        <v>Yes</v>
      </c>
      <c r="Q305" s="14"/>
    </row>
    <row r="306">
      <c r="A306" s="14" t="inlineStr">
        <is>
          <t xml:space="preserve">BETARUN-0326</t>
        </is>
      </c>
      <c r="B306" s="14" t="inlineStr">
        <is>
          <t xml:space="preserve">Beta Release</t>
        </is>
      </c>
      <c r="C306" s="14" t="inlineStr">
        <is>
          <t xml:space="preserve">RR-0326</t>
        </is>
      </c>
      <c r="D306" s="14" t="str">
        <f>IFERROR(VLOOKUP($C306,'Test Library'!$A:$P,2,FALSE),"")</f>
        <v>Billing &amp; Stripe</v>
      </c>
      <c r="E306" s="14" t="str">
        <f>IFERROR(VLOOKUP($C306,'Test Library'!$A:$P,3,FALSE),"")</f>
        <v>T&amp;A add-on and payment recovery</v>
      </c>
      <c r="F306" s="14" t="str">
        <f>IFERROR(VLOOKUP($C306,'Test Library'!$A:$P,5,FALSE),"")</f>
        <v>Price configuration changes for future customers</v>
      </c>
      <c r="G306" s="14" t="str">
        <f>IFERROR(VLOOKUP($C306,'Test Library'!$A:$P,6,FALSE),"")</f>
        <v>High</v>
      </c>
      <c r="H306" s="14" t="inlineStr">
        <is>
          <t xml:space="preserve">Staging</t>
        </is>
      </c>
      <c r="I306" s="14" t="inlineStr">
        <is>
          <t xml:space="preserve">Not Run</t>
        </is>
      </c>
      <c r="J306" s="14"/>
      <c r="K306" s="17"/>
      <c r="L306" s="14"/>
      <c r="M306" s="14"/>
      <c r="N306" s="14"/>
      <c r="O306" s="14" t="inlineStr">
        <is>
          <t xml:space="preserve">Not Required</t>
        </is>
      </c>
      <c r="P306" s="14" t="str">
        <f>IFERROR(VLOOKUP($C306,'Test Library'!$A:$P,14,FALSE),"")</f>
        <v>Yes</v>
      </c>
      <c r="Q306" s="14"/>
    </row>
    <row r="307">
      <c r="A307" s="14" t="inlineStr">
        <is>
          <t xml:space="preserve">BETARUN-0327</t>
        </is>
      </c>
      <c r="B307" s="14" t="inlineStr">
        <is>
          <t xml:space="preserve">Beta Release</t>
        </is>
      </c>
      <c r="C307" s="14" t="inlineStr">
        <is>
          <t xml:space="preserve">RR-0327</t>
        </is>
      </c>
      <c r="D307" s="14" t="str">
        <f>IFERROR(VLOOKUP($C307,'Test Library'!$A:$P,2,FALSE),"")</f>
        <v>Transactional Emails</v>
      </c>
      <c r="E307" s="14" t="str">
        <f>IFERROR(VLOOKUP($C307,'Test Library'!$A:$P,3,FALSE),"")</f>
        <v>Account and security emails</v>
      </c>
      <c r="F307" s="14" t="str">
        <f>IFERROR(VLOOKUP($C307,'Test Library'!$A:$P,5,FALSE),"")</f>
        <v>Send welcome email after successful onboarding</v>
      </c>
      <c r="G307" s="14" t="str">
        <f>IFERROR(VLOOKUP($C307,'Test Library'!$A:$P,6,FALSE),"")</f>
        <v>High</v>
      </c>
      <c r="H307" s="14" t="inlineStr">
        <is>
          <t xml:space="preserve">Staging</t>
        </is>
      </c>
      <c r="I307" s="14" t="inlineStr">
        <is>
          <t xml:space="preserve">Not Run</t>
        </is>
      </c>
      <c r="J307" s="14"/>
      <c r="K307" s="17"/>
      <c r="L307" s="14"/>
      <c r="M307" s="14"/>
      <c r="N307" s="14"/>
      <c r="O307" s="14" t="inlineStr">
        <is>
          <t xml:space="preserve">Not Required</t>
        </is>
      </c>
      <c r="P307" s="14" t="str">
        <f>IFERROR(VLOOKUP($C307,'Test Library'!$A:$P,14,FALSE),"")</f>
        <v>Yes</v>
      </c>
      <c r="Q307" s="14"/>
    </row>
    <row r="308">
      <c r="A308" s="14" t="inlineStr">
        <is>
          <t xml:space="preserve">BETARUN-0328</t>
        </is>
      </c>
      <c r="B308" s="14" t="inlineStr">
        <is>
          <t xml:space="preserve">Beta Release</t>
        </is>
      </c>
      <c r="C308" s="14" t="inlineStr">
        <is>
          <t xml:space="preserve">RR-0328</t>
        </is>
      </c>
      <c r="D308" s="14" t="str">
        <f>IFERROR(VLOOKUP($C308,'Test Library'!$A:$P,2,FALSE),"")</f>
        <v>Transactional Emails</v>
      </c>
      <c r="E308" s="14" t="str">
        <f>IFERROR(VLOOKUP($C308,'Test Library'!$A:$P,3,FALSE),"")</f>
        <v>Account and security emails</v>
      </c>
      <c r="F308" s="14" t="str">
        <f>IFERROR(VLOOKUP($C308,'Test Library'!$A:$P,5,FALSE),"")</f>
        <v>Send verification email</v>
      </c>
      <c r="G308" s="14" t="str">
        <f>IFERROR(VLOOKUP($C308,'Test Library'!$A:$P,6,FALSE),"")</f>
        <v>Critical</v>
      </c>
      <c r="H308" s="14" t="inlineStr">
        <is>
          <t xml:space="preserve">Staging</t>
        </is>
      </c>
      <c r="I308" s="14" t="inlineStr">
        <is>
          <t xml:space="preserve">Not Run</t>
        </is>
      </c>
      <c r="J308" s="14"/>
      <c r="K308" s="17"/>
      <c r="L308" s="14"/>
      <c r="M308" s="14"/>
      <c r="N308" s="14"/>
      <c r="O308" s="14" t="inlineStr">
        <is>
          <t xml:space="preserve">Not Required</t>
        </is>
      </c>
      <c r="P308" s="14" t="str">
        <f>IFERROR(VLOOKUP($C308,'Test Library'!$A:$P,14,FALSE),"")</f>
        <v>Yes</v>
      </c>
      <c r="Q308" s="14"/>
    </row>
    <row r="309">
      <c r="A309" s="14" t="inlineStr">
        <is>
          <t xml:space="preserve">BETARUN-0329</t>
        </is>
      </c>
      <c r="B309" s="14" t="inlineStr">
        <is>
          <t xml:space="preserve">Beta Release</t>
        </is>
      </c>
      <c r="C309" s="14" t="inlineStr">
        <is>
          <t xml:space="preserve">RR-0329</t>
        </is>
      </c>
      <c r="D309" s="14" t="str">
        <f>IFERROR(VLOOKUP($C309,'Test Library'!$A:$P,2,FALSE),"")</f>
        <v>Transactional Emails</v>
      </c>
      <c r="E309" s="14" t="str">
        <f>IFERROR(VLOOKUP($C309,'Test Library'!$A:$P,3,FALSE),"")</f>
        <v>Account and security emails</v>
      </c>
      <c r="F309" s="14" t="str">
        <f>IFERROR(VLOOKUP($C309,'Test Library'!$A:$P,5,FALSE),"")</f>
        <v>Send password reset email</v>
      </c>
      <c r="G309" s="14" t="str">
        <f>IFERROR(VLOOKUP($C309,'Test Library'!$A:$P,6,FALSE),"")</f>
        <v>Critical</v>
      </c>
      <c r="H309" s="14" t="inlineStr">
        <is>
          <t xml:space="preserve">Staging</t>
        </is>
      </c>
      <c r="I309" s="14" t="inlineStr">
        <is>
          <t xml:space="preserve">Not Run</t>
        </is>
      </c>
      <c r="J309" s="14"/>
      <c r="K309" s="17"/>
      <c r="L309" s="14"/>
      <c r="M309" s="14"/>
      <c r="N309" s="14"/>
      <c r="O309" s="14" t="inlineStr">
        <is>
          <t xml:space="preserve">Not Required</t>
        </is>
      </c>
      <c r="P309" s="14" t="str">
        <f>IFERROR(VLOOKUP($C309,'Test Library'!$A:$P,14,FALSE),"")</f>
        <v>Yes</v>
      </c>
      <c r="Q309" s="14"/>
    </row>
    <row r="310">
      <c r="A310" s="14" t="inlineStr">
        <is>
          <t xml:space="preserve">BETARUN-0330</t>
        </is>
      </c>
      <c r="B310" s="14" t="inlineStr">
        <is>
          <t xml:space="preserve">Beta Release</t>
        </is>
      </c>
      <c r="C310" s="14" t="inlineStr">
        <is>
          <t xml:space="preserve">RR-0330</t>
        </is>
      </c>
      <c r="D310" s="14" t="str">
        <f>IFERROR(VLOOKUP($C310,'Test Library'!$A:$P,2,FALSE),"")</f>
        <v>Transactional Emails</v>
      </c>
      <c r="E310" s="14" t="str">
        <f>IFERROR(VLOOKUP($C310,'Test Library'!$A:$P,3,FALSE),"")</f>
        <v>Account and security emails</v>
      </c>
      <c r="F310" s="14" t="str">
        <f>IFERROR(VLOOKUP($C310,'Test Library'!$A:$P,5,FALSE),"")</f>
        <v>Send password changed confirmation</v>
      </c>
      <c r="G310" s="14" t="str">
        <f>IFERROR(VLOOKUP($C310,'Test Library'!$A:$P,6,FALSE),"")</f>
        <v>High</v>
      </c>
      <c r="H310" s="14" t="inlineStr">
        <is>
          <t xml:space="preserve">Staging</t>
        </is>
      </c>
      <c r="I310" s="14" t="inlineStr">
        <is>
          <t xml:space="preserve">Not Run</t>
        </is>
      </c>
      <c r="J310" s="14"/>
      <c r="K310" s="17"/>
      <c r="L310" s="14"/>
      <c r="M310" s="14"/>
      <c r="N310" s="14"/>
      <c r="O310" s="14" t="inlineStr">
        <is>
          <t xml:space="preserve">Not Required</t>
        </is>
      </c>
      <c r="P310" s="14" t="str">
        <f>IFERROR(VLOOKUP($C310,'Test Library'!$A:$P,14,FALSE),"")</f>
        <v>Yes</v>
      </c>
      <c r="Q310" s="14"/>
    </row>
    <row r="311">
      <c r="A311" s="14" t="inlineStr">
        <is>
          <t xml:space="preserve">BETARUN-0331</t>
        </is>
      </c>
      <c r="B311" s="14" t="inlineStr">
        <is>
          <t xml:space="preserve">Beta Release</t>
        </is>
      </c>
      <c r="C311" s="14" t="inlineStr">
        <is>
          <t xml:space="preserve">RR-0331</t>
        </is>
      </c>
      <c r="D311" s="14" t="str">
        <f>IFERROR(VLOOKUP($C311,'Test Library'!$A:$P,2,FALSE),"")</f>
        <v>Transactional Emails</v>
      </c>
      <c r="E311" s="14" t="str">
        <f>IFERROR(VLOOKUP($C311,'Test Library'!$A:$P,3,FALSE),"")</f>
        <v>Account and security emails</v>
      </c>
      <c r="F311" s="14" t="str">
        <f>IFERROR(VLOOKUP($C311,'Test Library'!$A:$P,5,FALSE),"")</f>
        <v>Email address contains uppercase characters</v>
      </c>
      <c r="G311" s="14" t="str">
        <f>IFERROR(VLOOKUP($C311,'Test Library'!$A:$P,6,FALSE),"")</f>
        <v>Medium</v>
      </c>
      <c r="H311" s="14" t="inlineStr">
        <is>
          <t xml:space="preserve">Staging</t>
        </is>
      </c>
      <c r="I311" s="14" t="inlineStr">
        <is>
          <t xml:space="preserve">Not Run</t>
        </is>
      </c>
      <c r="J311" s="14"/>
      <c r="K311" s="17"/>
      <c r="L311" s="14"/>
      <c r="M311" s="14"/>
      <c r="N311" s="14"/>
      <c r="O311" s="14" t="inlineStr">
        <is>
          <t xml:space="preserve">Not Required</t>
        </is>
      </c>
      <c r="P311" s="14" t="str">
        <f>IFERROR(VLOOKUP($C311,'Test Library'!$A:$P,14,FALSE),"")</f>
        <v>No</v>
      </c>
      <c r="Q311" s="14"/>
    </row>
    <row r="312">
      <c r="A312" s="14" t="inlineStr">
        <is>
          <t xml:space="preserve">BETARUN-0332</t>
        </is>
      </c>
      <c r="B312" s="14" t="inlineStr">
        <is>
          <t xml:space="preserve">Beta Release</t>
        </is>
      </c>
      <c r="C312" s="14" t="inlineStr">
        <is>
          <t xml:space="preserve">RR-0332</t>
        </is>
      </c>
      <c r="D312" s="14" t="str">
        <f>IFERROR(VLOOKUP($C312,'Test Library'!$A:$P,2,FALSE),"")</f>
        <v>Transactional Emails</v>
      </c>
      <c r="E312" s="14" t="str">
        <f>IFERROR(VLOOKUP($C312,'Test Library'!$A:$P,3,FALSE),"")</f>
        <v>Account and security emails</v>
      </c>
      <c r="F312" s="14" t="str">
        <f>IFERROR(VLOOKUP($C312,'Test Library'!$A:$P,5,FALSE),"")</f>
        <v>Email provider reports a bounce</v>
      </c>
      <c r="G312" s="14" t="str">
        <f>IFERROR(VLOOKUP($C312,'Test Library'!$A:$P,6,FALSE),"")</f>
        <v>High</v>
      </c>
      <c r="H312" s="14" t="inlineStr">
        <is>
          <t xml:space="preserve">Staging</t>
        </is>
      </c>
      <c r="I312" s="14" t="inlineStr">
        <is>
          <t xml:space="preserve">Not Run</t>
        </is>
      </c>
      <c r="J312" s="14"/>
      <c r="K312" s="17"/>
      <c r="L312" s="14"/>
      <c r="M312" s="14"/>
      <c r="N312" s="14"/>
      <c r="O312" s="14" t="inlineStr">
        <is>
          <t xml:space="preserve">Not Required</t>
        </is>
      </c>
      <c r="P312" s="14" t="str">
        <f>IFERROR(VLOOKUP($C312,'Test Library'!$A:$P,14,FALSE),"")</f>
        <v>Yes</v>
      </c>
      <c r="Q312" s="14"/>
    </row>
    <row r="313">
      <c r="A313" s="14" t="inlineStr">
        <is>
          <t xml:space="preserve">BETARUN-0333</t>
        </is>
      </c>
      <c r="B313" s="14" t="inlineStr">
        <is>
          <t xml:space="preserve">Beta Release</t>
        </is>
      </c>
      <c r="C313" s="14" t="inlineStr">
        <is>
          <t xml:space="preserve">RR-0333</t>
        </is>
      </c>
      <c r="D313" s="14" t="str">
        <f>IFERROR(VLOOKUP($C313,'Test Library'!$A:$P,2,FALSE),"")</f>
        <v>Transactional Emails</v>
      </c>
      <c r="E313" s="14" t="str">
        <f>IFERROR(VLOOKUP($C313,'Test Library'!$A:$P,3,FALSE),"")</f>
        <v>Account and security emails</v>
      </c>
      <c r="F313" s="14" t="str">
        <f>IFERROR(VLOOKUP($C313,'Test Library'!$A:$P,5,FALSE),"")</f>
        <v>Recipient is suppressed</v>
      </c>
      <c r="G313" s="14" t="str">
        <f>IFERROR(VLOOKUP($C313,'Test Library'!$A:$P,6,FALSE),"")</f>
        <v>High</v>
      </c>
      <c r="H313" s="14" t="inlineStr">
        <is>
          <t xml:space="preserve">Staging</t>
        </is>
      </c>
      <c r="I313" s="14" t="inlineStr">
        <is>
          <t xml:space="preserve">Not Run</t>
        </is>
      </c>
      <c r="J313" s="14"/>
      <c r="K313" s="17"/>
      <c r="L313" s="14"/>
      <c r="M313" s="14"/>
      <c r="N313" s="14"/>
      <c r="O313" s="14" t="inlineStr">
        <is>
          <t xml:space="preserve">Not Required</t>
        </is>
      </c>
      <c r="P313" s="14" t="str">
        <f>IFERROR(VLOOKUP($C313,'Test Library'!$A:$P,14,FALSE),"")</f>
        <v>Yes</v>
      </c>
      <c r="Q313" s="14"/>
    </row>
    <row r="314">
      <c r="A314" s="14" t="inlineStr">
        <is>
          <t xml:space="preserve">BETARUN-0334</t>
        </is>
      </c>
      <c r="B314" s="14" t="inlineStr">
        <is>
          <t xml:space="preserve">Beta Release</t>
        </is>
      </c>
      <c r="C314" s="14" t="inlineStr">
        <is>
          <t xml:space="preserve">RR-0334</t>
        </is>
      </c>
      <c r="D314" s="14" t="str">
        <f>IFERROR(VLOOKUP($C314,'Test Library'!$A:$P,2,FALSE),"")</f>
        <v>Transactional Emails</v>
      </c>
      <c r="E314" s="14" t="str">
        <f>IFERROR(VLOOKUP($C314,'Test Library'!$A:$P,3,FALSE),"")</f>
        <v>Product and billing emails</v>
      </c>
      <c r="F314" s="14" t="str">
        <f>IFERROR(VLOOKUP($C314,'Test Library'!$A:$P,5,FALSE),"")</f>
        <v>Send rota published email</v>
      </c>
      <c r="G314" s="14" t="str">
        <f>IFERROR(VLOOKUP($C314,'Test Library'!$A:$P,6,FALSE),"")</f>
        <v>Critical</v>
      </c>
      <c r="H314" s="14" t="inlineStr">
        <is>
          <t xml:space="preserve">Staging</t>
        </is>
      </c>
      <c r="I314" s="14" t="inlineStr">
        <is>
          <t xml:space="preserve">Not Run</t>
        </is>
      </c>
      <c r="J314" s="14"/>
      <c r="K314" s="17"/>
      <c r="L314" s="14"/>
      <c r="M314" s="14"/>
      <c r="N314" s="14"/>
      <c r="O314" s="14" t="inlineStr">
        <is>
          <t xml:space="preserve">Not Required</t>
        </is>
      </c>
      <c r="P314" s="14" t="str">
        <f>IFERROR(VLOOKUP($C314,'Test Library'!$A:$P,14,FALSE),"")</f>
        <v>Yes</v>
      </c>
      <c r="Q314" s="14"/>
    </row>
    <row r="315">
      <c r="A315" s="14" t="inlineStr">
        <is>
          <t xml:space="preserve">BETARUN-0335</t>
        </is>
      </c>
      <c r="B315" s="14" t="inlineStr">
        <is>
          <t xml:space="preserve">Beta Release</t>
        </is>
      </c>
      <c r="C315" s="14" t="inlineStr">
        <is>
          <t xml:space="preserve">RR-0335</t>
        </is>
      </c>
      <c r="D315" s="14" t="str">
        <f>IFERROR(VLOOKUP($C315,'Test Library'!$A:$P,2,FALSE),"")</f>
        <v>Transactional Emails</v>
      </c>
      <c r="E315" s="14" t="str">
        <f>IFERROR(VLOOKUP($C315,'Test Library'!$A:$P,3,FALSE),"")</f>
        <v>Product and billing emails</v>
      </c>
      <c r="F315" s="14" t="str">
        <f>IFERROR(VLOOKUP($C315,'Test Library'!$A:$P,5,FALSE),"")</f>
        <v>Send rota changed email</v>
      </c>
      <c r="G315" s="14" t="str">
        <f>IFERROR(VLOOKUP($C315,'Test Library'!$A:$P,6,FALSE),"")</f>
        <v>Critical</v>
      </c>
      <c r="H315" s="14" t="inlineStr">
        <is>
          <t xml:space="preserve">Staging</t>
        </is>
      </c>
      <c r="I315" s="14" t="inlineStr">
        <is>
          <t xml:space="preserve">Not Run</t>
        </is>
      </c>
      <c r="J315" s="14"/>
      <c r="K315" s="17"/>
      <c r="L315" s="14"/>
      <c r="M315" s="14"/>
      <c r="N315" s="14"/>
      <c r="O315" s="14" t="inlineStr">
        <is>
          <t xml:space="preserve">Not Required</t>
        </is>
      </c>
      <c r="P315" s="14" t="str">
        <f>IFERROR(VLOOKUP($C315,'Test Library'!$A:$P,14,FALSE),"")</f>
        <v>Yes</v>
      </c>
      <c r="Q315" s="14"/>
    </row>
    <row r="316">
      <c r="A316" s="14" t="inlineStr">
        <is>
          <t xml:space="preserve">BETARUN-0336</t>
        </is>
      </c>
      <c r="B316" s="14" t="inlineStr">
        <is>
          <t xml:space="preserve">Beta Release</t>
        </is>
      </c>
      <c r="C316" s="14" t="inlineStr">
        <is>
          <t xml:space="preserve">RR-0336</t>
        </is>
      </c>
      <c r="D316" s="14" t="str">
        <f>IFERROR(VLOOKUP($C316,'Test Library'!$A:$P,2,FALSE),"")</f>
        <v>Transactional Emails</v>
      </c>
      <c r="E316" s="14" t="str">
        <f>IFERROR(VLOOKUP($C316,'Test Library'!$A:$P,3,FALSE),"")</f>
        <v>Product and billing emails</v>
      </c>
      <c r="F316" s="14" t="str">
        <f>IFERROR(VLOOKUP($C316,'Test Library'!$A:$P,5,FALSE),"")</f>
        <v>Send invitation email</v>
      </c>
      <c r="G316" s="14" t="str">
        <f>IFERROR(VLOOKUP($C316,'Test Library'!$A:$P,6,FALSE),"")</f>
        <v>Critical</v>
      </c>
      <c r="H316" s="14" t="inlineStr">
        <is>
          <t xml:space="preserve">Staging</t>
        </is>
      </c>
      <c r="I316" s="14" t="inlineStr">
        <is>
          <t xml:space="preserve">Not Run</t>
        </is>
      </c>
      <c r="J316" s="14"/>
      <c r="K316" s="17"/>
      <c r="L316" s="14"/>
      <c r="M316" s="14"/>
      <c r="N316" s="14"/>
      <c r="O316" s="14" t="inlineStr">
        <is>
          <t xml:space="preserve">Not Required</t>
        </is>
      </c>
      <c r="P316" s="14" t="str">
        <f>IFERROR(VLOOKUP($C316,'Test Library'!$A:$P,14,FALSE),"")</f>
        <v>Yes</v>
      </c>
      <c r="Q316" s="14"/>
    </row>
    <row r="317">
      <c r="A317" s="14" t="inlineStr">
        <is>
          <t xml:space="preserve">BETARUN-0337</t>
        </is>
      </c>
      <c r="B317" s="14" t="inlineStr">
        <is>
          <t xml:space="preserve">Beta Release</t>
        </is>
      </c>
      <c r="C317" s="14" t="inlineStr">
        <is>
          <t xml:space="preserve">RR-0337</t>
        </is>
      </c>
      <c r="D317" s="14" t="str">
        <f>IFERROR(VLOOKUP($C317,'Test Library'!$A:$P,2,FALSE),"")</f>
        <v>Transactional Emails</v>
      </c>
      <c r="E317" s="14" t="str">
        <f>IFERROR(VLOOKUP($C317,'Test Library'!$A:$P,3,FALSE),"")</f>
        <v>Product and billing emails</v>
      </c>
      <c r="F317" s="14" t="str">
        <f>IFERROR(VLOOKUP($C317,'Test Library'!$A:$P,5,FALSE),"")</f>
        <v>Send failed payment email</v>
      </c>
      <c r="G317" s="14" t="str">
        <f>IFERROR(VLOOKUP($C317,'Test Library'!$A:$P,6,FALSE),"")</f>
        <v>Critical</v>
      </c>
      <c r="H317" s="14" t="inlineStr">
        <is>
          <t xml:space="preserve">Staging</t>
        </is>
      </c>
      <c r="I317" s="14" t="inlineStr">
        <is>
          <t xml:space="preserve">Not Run</t>
        </is>
      </c>
      <c r="J317" s="14"/>
      <c r="K317" s="17"/>
      <c r="L317" s="14"/>
      <c r="M317" s="14"/>
      <c r="N317" s="14"/>
      <c r="O317" s="14" t="inlineStr">
        <is>
          <t xml:space="preserve">Not Required</t>
        </is>
      </c>
      <c r="P317" s="14" t="str">
        <f>IFERROR(VLOOKUP($C317,'Test Library'!$A:$P,14,FALSE),"")</f>
        <v>Yes</v>
      </c>
      <c r="Q317" s="14"/>
    </row>
    <row r="318">
      <c r="A318" s="14" t="inlineStr">
        <is>
          <t xml:space="preserve">BETARUN-0338</t>
        </is>
      </c>
      <c r="B318" s="14" t="inlineStr">
        <is>
          <t xml:space="preserve">Beta Release</t>
        </is>
      </c>
      <c r="C318" s="14" t="inlineStr">
        <is>
          <t xml:space="preserve">RR-0338</t>
        </is>
      </c>
      <c r="D318" s="14" t="str">
        <f>IFERROR(VLOOKUP($C318,'Test Library'!$A:$P,2,FALSE),"")</f>
        <v>Transactional Emails</v>
      </c>
      <c r="E318" s="14" t="str">
        <f>IFERROR(VLOOKUP($C318,'Test Library'!$A:$P,3,FALSE),"")</f>
        <v>Product and billing emails</v>
      </c>
      <c r="F318" s="14" t="str">
        <f>IFERROR(VLOOKUP($C318,'Test Library'!$A:$P,5,FALSE),"")</f>
        <v>Send payment recovered email</v>
      </c>
      <c r="G318" s="14" t="str">
        <f>IFERROR(VLOOKUP($C318,'Test Library'!$A:$P,6,FALSE),"")</f>
        <v>High</v>
      </c>
      <c r="H318" s="14" t="inlineStr">
        <is>
          <t xml:space="preserve">Staging</t>
        </is>
      </c>
      <c r="I318" s="14" t="inlineStr">
        <is>
          <t xml:space="preserve">Not Run</t>
        </is>
      </c>
      <c r="J318" s="14"/>
      <c r="K318" s="17"/>
      <c r="L318" s="14"/>
      <c r="M318" s="14"/>
      <c r="N318" s="14"/>
      <c r="O318" s="14" t="inlineStr">
        <is>
          <t xml:space="preserve">Not Required</t>
        </is>
      </c>
      <c r="P318" s="14" t="str">
        <f>IFERROR(VLOOKUP($C318,'Test Library'!$A:$P,14,FALSE),"")</f>
        <v>Yes</v>
      </c>
      <c r="Q318" s="14"/>
    </row>
    <row r="319">
      <c r="A319" s="14" t="inlineStr">
        <is>
          <t xml:space="preserve">BETARUN-0339</t>
        </is>
      </c>
      <c r="B319" s="14" t="inlineStr">
        <is>
          <t xml:space="preserve">Beta Release</t>
        </is>
      </c>
      <c r="C319" s="14" t="inlineStr">
        <is>
          <t xml:space="preserve">RR-0339</t>
        </is>
      </c>
      <c r="D319" s="14" t="str">
        <f>IFERROR(VLOOKUP($C319,'Test Library'!$A:$P,2,FALSE),"")</f>
        <v>Transactional Emails</v>
      </c>
      <c r="E319" s="14" t="str">
        <f>IFERROR(VLOOKUP($C319,'Test Library'!$A:$P,3,FALSE),"")</f>
        <v>Product and billing emails</v>
      </c>
      <c r="F319" s="14" t="str">
        <f>IFERROR(VLOOKUP($C319,'Test Library'!$A:$P,5,FALSE),"")</f>
        <v>Send trial ending reminder</v>
      </c>
      <c r="G319" s="14" t="str">
        <f>IFERROR(VLOOKUP($C319,'Test Library'!$A:$P,6,FALSE),"")</f>
        <v>High</v>
      </c>
      <c r="H319" s="14" t="inlineStr">
        <is>
          <t xml:space="preserve">Staging</t>
        </is>
      </c>
      <c r="I319" s="14" t="inlineStr">
        <is>
          <t xml:space="preserve">Not Run</t>
        </is>
      </c>
      <c r="J319" s="14"/>
      <c r="K319" s="17"/>
      <c r="L319" s="14"/>
      <c r="M319" s="14"/>
      <c r="N319" s="14"/>
      <c r="O319" s="14" t="inlineStr">
        <is>
          <t xml:space="preserve">Not Required</t>
        </is>
      </c>
      <c r="P319" s="14" t="str">
        <f>IFERROR(VLOOKUP($C319,'Test Library'!$A:$P,14,FALSE),"")</f>
        <v>Yes</v>
      </c>
      <c r="Q319" s="14"/>
    </row>
    <row r="320">
      <c r="A320" s="14" t="inlineStr">
        <is>
          <t xml:space="preserve">BETARUN-0340</t>
        </is>
      </c>
      <c r="B320" s="14" t="inlineStr">
        <is>
          <t xml:space="preserve">Beta Release</t>
        </is>
      </c>
      <c r="C320" s="14" t="inlineStr">
        <is>
          <t xml:space="preserve">RR-0340</t>
        </is>
      </c>
      <c r="D320" s="14" t="str">
        <f>IFERROR(VLOOKUP($C320,'Test Library'!$A:$P,2,FALSE),"")</f>
        <v>Transactional Emails</v>
      </c>
      <c r="E320" s="14" t="str">
        <f>IFERROR(VLOOKUP($C320,'Test Library'!$A:$P,3,FALSE),"")</f>
        <v>Product and billing emails</v>
      </c>
      <c r="F320" s="14" t="str">
        <f>IFERROR(VLOOKUP($C320,'Test Library'!$A:$P,5,FALSE),"")</f>
        <v>Send T&amp;A activation/cancellation confirmation</v>
      </c>
      <c r="G320" s="14" t="str">
        <f>IFERROR(VLOOKUP($C320,'Test Library'!$A:$P,6,FALSE),"")</f>
        <v>High</v>
      </c>
      <c r="H320" s="14" t="inlineStr">
        <is>
          <t xml:space="preserve">Staging</t>
        </is>
      </c>
      <c r="I320" s="14" t="inlineStr">
        <is>
          <t xml:space="preserve">Not Run</t>
        </is>
      </c>
      <c r="J320" s="14"/>
      <c r="K320" s="17"/>
      <c r="L320" s="14"/>
      <c r="M320" s="14"/>
      <c r="N320" s="14"/>
      <c r="O320" s="14" t="inlineStr">
        <is>
          <t xml:space="preserve">Not Required</t>
        </is>
      </c>
      <c r="P320" s="14" t="str">
        <f>IFERROR(VLOOKUP($C320,'Test Library'!$A:$P,14,FALSE),"")</f>
        <v>Yes</v>
      </c>
      <c r="Q320" s="14"/>
    </row>
    <row r="321">
      <c r="A321" s="14" t="inlineStr">
        <is>
          <t xml:space="preserve">BETARUN-0341</t>
        </is>
      </c>
      <c r="B321" s="14" t="inlineStr">
        <is>
          <t xml:space="preserve">Beta Release</t>
        </is>
      </c>
      <c r="C321" s="14" t="inlineStr">
        <is>
          <t xml:space="preserve">RR-0341</t>
        </is>
      </c>
      <c r="D321" s="14" t="str">
        <f>IFERROR(VLOOKUP($C321,'Test Library'!$A:$P,2,FALSE),"")</f>
        <v>Transactional Emails</v>
      </c>
      <c r="E321" s="14" t="str">
        <f>IFERROR(VLOOKUP($C321,'Test Library'!$A:$P,3,FALSE),"")</f>
        <v>Product and billing emails</v>
      </c>
      <c r="F321" s="14" t="str">
        <f>IFERROR(VLOOKUP($C321,'Test Library'!$A:$P,5,FALSE),"")</f>
        <v>Email HTML is viewed with images disabled</v>
      </c>
      <c r="G321" s="14" t="str">
        <f>IFERROR(VLOOKUP($C321,'Test Library'!$A:$P,6,FALSE),"")</f>
        <v>Medium</v>
      </c>
      <c r="H321" s="14" t="inlineStr">
        <is>
          <t xml:space="preserve">Staging</t>
        </is>
      </c>
      <c r="I321" s="14" t="inlineStr">
        <is>
          <t xml:space="preserve">Not Run</t>
        </is>
      </c>
      <c r="J321" s="14"/>
      <c r="K321" s="17"/>
      <c r="L321" s="14"/>
      <c r="M321" s="14"/>
      <c r="N321" s="14"/>
      <c r="O321" s="14" t="inlineStr">
        <is>
          <t xml:space="preserve">Not Required</t>
        </is>
      </c>
      <c r="P321" s="14" t="str">
        <f>IFERROR(VLOOKUP($C321,'Test Library'!$A:$P,14,FALSE),"")</f>
        <v>No</v>
      </c>
      <c r="Q321" s="14"/>
    </row>
    <row r="322">
      <c r="A322" s="14" t="inlineStr">
        <is>
          <t xml:space="preserve">BETARUN-0342</t>
        </is>
      </c>
      <c r="B322" s="14" t="inlineStr">
        <is>
          <t xml:space="preserve">Beta Release</t>
        </is>
      </c>
      <c r="C322" s="14" t="inlineStr">
        <is>
          <t xml:space="preserve">RR-0342</t>
        </is>
      </c>
      <c r="D322" s="14" t="str">
        <f>IFERROR(VLOOKUP($C322,'Test Library'!$A:$P,2,FALSE),"")</f>
        <v>Transactional Emails</v>
      </c>
      <c r="E322" s="14" t="str">
        <f>IFERROR(VLOOKUP($C322,'Test Library'!$A:$P,3,FALSE),"")</f>
        <v>Product and billing emails</v>
      </c>
      <c r="F322" s="14" t="str">
        <f>IFERROR(VLOOKUP($C322,'Test Library'!$A:$P,5,FALSE),"")</f>
        <v>Email is viewed on narrow mobile client</v>
      </c>
      <c r="G322" s="14" t="str">
        <f>IFERROR(VLOOKUP($C322,'Test Library'!$A:$P,6,FALSE),"")</f>
        <v>High</v>
      </c>
      <c r="H322" s="14" t="inlineStr">
        <is>
          <t xml:space="preserve">Staging</t>
        </is>
      </c>
      <c r="I322" s="14" t="inlineStr">
        <is>
          <t xml:space="preserve">Not Run</t>
        </is>
      </c>
      <c r="J322" s="14"/>
      <c r="K322" s="17"/>
      <c r="L322" s="14"/>
      <c r="M322" s="14"/>
      <c r="N322" s="14"/>
      <c r="O322" s="14" t="inlineStr">
        <is>
          <t xml:space="preserve">Not Required</t>
        </is>
      </c>
      <c r="P322" s="14" t="str">
        <f>IFERROR(VLOOKUP($C322,'Test Library'!$A:$P,14,FALSE),"")</f>
        <v>Yes</v>
      </c>
      <c r="Q322" s="14"/>
    </row>
    <row r="323">
      <c r="A323" s="14" t="inlineStr">
        <is>
          <t xml:space="preserve">BETARUN-0343</t>
        </is>
      </c>
      <c r="B323" s="14" t="inlineStr">
        <is>
          <t xml:space="preserve">Beta Release</t>
        </is>
      </c>
      <c r="C323" s="14" t="inlineStr">
        <is>
          <t xml:space="preserve">RR-0343</t>
        </is>
      </c>
      <c r="D323" s="14" t="str">
        <f>IFERROR(VLOOKUP($C323,'Test Library'!$A:$P,2,FALSE),"")</f>
        <v>Transactional Emails</v>
      </c>
      <c r="E323" s="14" t="str">
        <f>IFERROR(VLOOKUP($C323,'Test Library'!$A:$P,3,FALSE),"")</f>
        <v>Product and billing emails</v>
      </c>
      <c r="F323" s="14" t="str">
        <f>IFERROR(VLOOKUP($C323,'Test Library'!$A:$P,5,FALSE),"")</f>
        <v>A job retry occurs after provider timeout</v>
      </c>
      <c r="G323" s="14" t="str">
        <f>IFERROR(VLOOKUP($C323,'Test Library'!$A:$P,6,FALSE),"")</f>
        <v>High</v>
      </c>
      <c r="H323" s="14" t="inlineStr">
        <is>
          <t xml:space="preserve">Staging</t>
        </is>
      </c>
      <c r="I323" s="14" t="inlineStr">
        <is>
          <t xml:space="preserve">Not Run</t>
        </is>
      </c>
      <c r="J323" s="14"/>
      <c r="K323" s="17"/>
      <c r="L323" s="14"/>
      <c r="M323" s="14"/>
      <c r="N323" s="14"/>
      <c r="O323" s="14" t="inlineStr">
        <is>
          <t xml:space="preserve">Not Required</t>
        </is>
      </c>
      <c r="P323" s="14" t="str">
        <f>IFERROR(VLOOKUP($C323,'Test Library'!$A:$P,14,FALSE),"")</f>
        <v>Yes</v>
      </c>
      <c r="Q323" s="14"/>
    </row>
    <row r="324">
      <c r="A324" s="14" t="inlineStr">
        <is>
          <t xml:space="preserve">BETARUN-0344</t>
        </is>
      </c>
      <c r="B324" s="14" t="inlineStr">
        <is>
          <t xml:space="preserve">Beta Release</t>
        </is>
      </c>
      <c r="C324" s="14" t="inlineStr">
        <is>
          <t xml:space="preserve">RR-0344</t>
        </is>
      </c>
      <c r="D324" s="14" t="str">
        <f>IFERROR(VLOOKUP($C324,'Test Library'!$A:$P,2,FALSE),"")</f>
        <v>Transactional Emails</v>
      </c>
      <c r="E324" s="14" t="str">
        <f>IFERROR(VLOOKUP($C324,'Test Library'!$A:$P,3,FALSE),"")</f>
        <v>Product and billing emails</v>
      </c>
      <c r="F324" s="14" t="str">
        <f>IFERROR(VLOOKUP($C324,'Test Library'!$A:$P,5,FALSE),"")</f>
        <v>Production email is attempted from staging</v>
      </c>
      <c r="G324" s="14" t="str">
        <f>IFERROR(VLOOKUP($C324,'Test Library'!$A:$P,6,FALSE),"")</f>
        <v>Critical</v>
      </c>
      <c r="H324" s="14" t="inlineStr">
        <is>
          <t xml:space="preserve">Staging</t>
        </is>
      </c>
      <c r="I324" s="14" t="inlineStr">
        <is>
          <t xml:space="preserve">Not Run</t>
        </is>
      </c>
      <c r="J324" s="14"/>
      <c r="K324" s="17"/>
      <c r="L324" s="14"/>
      <c r="M324" s="14"/>
      <c r="N324" s="14"/>
      <c r="O324" s="14" t="inlineStr">
        <is>
          <t xml:space="preserve">Not Required</t>
        </is>
      </c>
      <c r="P324" s="14" t="str">
        <f>IFERROR(VLOOKUP($C324,'Test Library'!$A:$P,14,FALSE),"")</f>
        <v>Yes</v>
      </c>
      <c r="Q324" s="14"/>
    </row>
    <row r="325">
      <c r="A325" s="14" t="inlineStr">
        <is>
          <t xml:space="preserve">BETARUN-0345</t>
        </is>
      </c>
      <c r="B325" s="14" t="inlineStr">
        <is>
          <t xml:space="preserve">Beta Release</t>
        </is>
      </c>
      <c r="C325" s="14" t="inlineStr">
        <is>
          <t xml:space="preserve">RR-0345</t>
        </is>
      </c>
      <c r="D325" s="14" t="str">
        <f>IFERROR(VLOOKUP($C325,'Test Library'!$A:$P,2,FALSE),"")</f>
        <v>PWA, Push &amp; Offline</v>
      </c>
      <c r="E325" s="14" t="str">
        <f>IFERROR(VLOOKUP($C325,'Test Library'!$A:$P,3,FALSE),"")</f>
        <v>Installation and app behaviour</v>
      </c>
      <c r="F325" s="14" t="str">
        <f>IFERROR(VLOOKUP($C325,'Test Library'!$A:$P,5,FALSE),"")</f>
        <v>Install PWA on supported Android Chrome</v>
      </c>
      <c r="G325" s="14" t="str">
        <f>IFERROR(VLOOKUP($C325,'Test Library'!$A:$P,6,FALSE),"")</f>
        <v>Critical</v>
      </c>
      <c r="H325" s="14" t="inlineStr">
        <is>
          <t xml:space="preserve">Staging</t>
        </is>
      </c>
      <c r="I325" s="14" t="inlineStr">
        <is>
          <t xml:space="preserve">Not Run</t>
        </is>
      </c>
      <c r="J325" s="14"/>
      <c r="K325" s="17"/>
      <c r="L325" s="14"/>
      <c r="M325" s="14"/>
      <c r="N325" s="14"/>
      <c r="O325" s="14" t="inlineStr">
        <is>
          <t xml:space="preserve">Not Required</t>
        </is>
      </c>
      <c r="P325" s="14" t="str">
        <f>IFERROR(VLOOKUP($C325,'Test Library'!$A:$P,14,FALSE),"")</f>
        <v>Yes</v>
      </c>
      <c r="Q325" s="14"/>
    </row>
    <row r="326">
      <c r="A326" s="14" t="inlineStr">
        <is>
          <t xml:space="preserve">BETARUN-0346</t>
        </is>
      </c>
      <c r="B326" s="14" t="inlineStr">
        <is>
          <t xml:space="preserve">Beta Release</t>
        </is>
      </c>
      <c r="C326" s="14" t="inlineStr">
        <is>
          <t xml:space="preserve">RR-0346</t>
        </is>
      </c>
      <c r="D326" s="14" t="str">
        <f>IFERROR(VLOOKUP($C326,'Test Library'!$A:$P,2,FALSE),"")</f>
        <v>PWA, Push &amp; Offline</v>
      </c>
      <c r="E326" s="14" t="str">
        <f>IFERROR(VLOOKUP($C326,'Test Library'!$A:$P,3,FALSE),"")</f>
        <v>Installation and app behaviour</v>
      </c>
      <c r="F326" s="14" t="str">
        <f>IFERROR(VLOOKUP($C326,'Test Library'!$A:$P,5,FALSE),"")</f>
        <v>Add PWA to iOS home screen</v>
      </c>
      <c r="G326" s="14" t="str">
        <f>IFERROR(VLOOKUP($C326,'Test Library'!$A:$P,6,FALSE),"")</f>
        <v>Critical</v>
      </c>
      <c r="H326" s="14" t="inlineStr">
        <is>
          <t xml:space="preserve">Staging</t>
        </is>
      </c>
      <c r="I326" s="14" t="inlineStr">
        <is>
          <t xml:space="preserve">Not Run</t>
        </is>
      </c>
      <c r="J326" s="14"/>
      <c r="K326" s="17"/>
      <c r="L326" s="14"/>
      <c r="M326" s="14"/>
      <c r="N326" s="14"/>
      <c r="O326" s="14" t="inlineStr">
        <is>
          <t xml:space="preserve">Not Required</t>
        </is>
      </c>
      <c r="P326" s="14" t="str">
        <f>IFERROR(VLOOKUP($C326,'Test Library'!$A:$P,14,FALSE),"")</f>
        <v>Yes</v>
      </c>
      <c r="Q326" s="14"/>
    </row>
    <row r="327">
      <c r="A327" s="14" t="inlineStr">
        <is>
          <t xml:space="preserve">BETARUN-0347</t>
        </is>
      </c>
      <c r="B327" s="14" t="inlineStr">
        <is>
          <t xml:space="preserve">Beta Release</t>
        </is>
      </c>
      <c r="C327" s="14" t="inlineStr">
        <is>
          <t xml:space="preserve">RR-0347</t>
        </is>
      </c>
      <c r="D327" s="14" t="str">
        <f>IFERROR(VLOOKUP($C327,'Test Library'!$A:$P,2,FALSE),"")</f>
        <v>PWA, Push &amp; Offline</v>
      </c>
      <c r="E327" s="14" t="str">
        <f>IFERROR(VLOOKUP($C327,'Test Library'!$A:$P,3,FALSE),"")</f>
        <v>Installation and app behaviour</v>
      </c>
      <c r="F327" s="14" t="str">
        <f>IFERROR(VLOOKUP($C327,'Test Library'!$A:$P,5,FALSE),"")</f>
        <v>Launch installed PWA from a notification</v>
      </c>
      <c r="G327" s="14" t="str">
        <f>IFERROR(VLOOKUP($C327,'Test Library'!$A:$P,6,FALSE),"")</f>
        <v>High</v>
      </c>
      <c r="H327" s="14" t="inlineStr">
        <is>
          <t xml:space="preserve">Staging</t>
        </is>
      </c>
      <c r="I327" s="14" t="inlineStr">
        <is>
          <t xml:space="preserve">Not Run</t>
        </is>
      </c>
      <c r="J327" s="14"/>
      <c r="K327" s="17"/>
      <c r="L327" s="14"/>
      <c r="M327" s="14"/>
      <c r="N327" s="14"/>
      <c r="O327" s="14" t="inlineStr">
        <is>
          <t xml:space="preserve">Not Required</t>
        </is>
      </c>
      <c r="P327" s="14" t="str">
        <f>IFERROR(VLOOKUP($C327,'Test Library'!$A:$P,14,FALSE),"")</f>
        <v>Yes</v>
      </c>
      <c r="Q327" s="14"/>
    </row>
    <row r="328">
      <c r="A328" s="14" t="inlineStr">
        <is>
          <t xml:space="preserve">BETARUN-0348</t>
        </is>
      </c>
      <c r="B328" s="14" t="inlineStr">
        <is>
          <t xml:space="preserve">Beta Release</t>
        </is>
      </c>
      <c r="C328" s="14" t="inlineStr">
        <is>
          <t xml:space="preserve">RR-0348</t>
        </is>
      </c>
      <c r="D328" s="14" t="str">
        <f>IFERROR(VLOOKUP($C328,'Test Library'!$A:$P,2,FALSE),"")</f>
        <v>PWA, Push &amp; Offline</v>
      </c>
      <c r="E328" s="14" t="str">
        <f>IFERROR(VLOOKUP($C328,'Test Library'!$A:$P,3,FALSE),"")</f>
        <v>Installation and app behaviour</v>
      </c>
      <c r="F328" s="14" t="str">
        <f>IFERROR(VLOOKUP($C328,'Test Library'!$A:$P,5,FALSE),"")</f>
        <v>Open /clock from NFC when PWA is installed</v>
      </c>
      <c r="G328" s="14" t="str">
        <f>IFERROR(VLOOKUP($C328,'Test Library'!$A:$P,6,FALSE),"")</f>
        <v>Critical</v>
      </c>
      <c r="H328" s="14" t="inlineStr">
        <is>
          <t xml:space="preserve">Staging</t>
        </is>
      </c>
      <c r="I328" s="14" t="inlineStr">
        <is>
          <t xml:space="preserve">Not Run</t>
        </is>
      </c>
      <c r="J328" s="14"/>
      <c r="K328" s="17"/>
      <c r="L328" s="14"/>
      <c r="M328" s="14"/>
      <c r="N328" s="14"/>
      <c r="O328" s="14" t="inlineStr">
        <is>
          <t xml:space="preserve">Not Required</t>
        </is>
      </c>
      <c r="P328" s="14" t="str">
        <f>IFERROR(VLOOKUP($C328,'Test Library'!$A:$P,14,FALSE),"")</f>
        <v>Yes</v>
      </c>
      <c r="Q328" s="14"/>
    </row>
    <row r="329">
      <c r="A329" s="14" t="inlineStr">
        <is>
          <t xml:space="preserve">BETARUN-0349</t>
        </is>
      </c>
      <c r="B329" s="14" t="inlineStr">
        <is>
          <t xml:space="preserve">Beta Release</t>
        </is>
      </c>
      <c r="C329" s="14" t="inlineStr">
        <is>
          <t xml:space="preserve">RR-0349</t>
        </is>
      </c>
      <c r="D329" s="14" t="str">
        <f>IFERROR(VLOOKUP($C329,'Test Library'!$A:$P,2,FALSE),"")</f>
        <v>PWA, Push &amp; Offline</v>
      </c>
      <c r="E329" s="14" t="str">
        <f>IFERROR(VLOOKUP($C329,'Test Library'!$A:$P,3,FALSE),"")</f>
        <v>Installation and app behaviour</v>
      </c>
      <c r="F329" s="14" t="str">
        <f>IFERROR(VLOOKUP($C329,'Test Library'!$A:$P,5,FALSE),"")</f>
        <v>Update to a new service-worker version</v>
      </c>
      <c r="G329" s="14" t="str">
        <f>IFERROR(VLOOKUP($C329,'Test Library'!$A:$P,6,FALSE),"")</f>
        <v>Critical</v>
      </c>
      <c r="H329" s="14" t="inlineStr">
        <is>
          <t xml:space="preserve">Staging</t>
        </is>
      </c>
      <c r="I329" s="14" t="inlineStr">
        <is>
          <t xml:space="preserve">Not Run</t>
        </is>
      </c>
      <c r="J329" s="14"/>
      <c r="K329" s="17"/>
      <c r="L329" s="14"/>
      <c r="M329" s="14"/>
      <c r="N329" s="14"/>
      <c r="O329" s="14" t="inlineStr">
        <is>
          <t xml:space="preserve">Not Required</t>
        </is>
      </c>
      <c r="P329" s="14" t="str">
        <f>IFERROR(VLOOKUP($C329,'Test Library'!$A:$P,14,FALSE),"")</f>
        <v>Yes</v>
      </c>
      <c r="Q329" s="14"/>
    </row>
    <row r="330">
      <c r="A330" s="14" t="inlineStr">
        <is>
          <t xml:space="preserve">BETARUN-0350</t>
        </is>
      </c>
      <c r="B330" s="14" t="inlineStr">
        <is>
          <t xml:space="preserve">Beta Release</t>
        </is>
      </c>
      <c r="C330" s="14" t="inlineStr">
        <is>
          <t xml:space="preserve">RR-0350</t>
        </is>
      </c>
      <c r="D330" s="14" t="str">
        <f>IFERROR(VLOOKUP($C330,'Test Library'!$A:$P,2,FALSE),"")</f>
        <v>PWA, Push &amp; Offline</v>
      </c>
      <c r="E330" s="14" t="str">
        <f>IFERROR(VLOOKUP($C330,'Test Library'!$A:$P,3,FALSE),"")</f>
        <v>Installation and app behaviour</v>
      </c>
      <c r="F330" s="14" t="str">
        <f>IFERROR(VLOOKUP($C330,'Test Library'!$A:$P,5,FALSE),"")</f>
        <v>App manifest is unavailable</v>
      </c>
      <c r="G330" s="14" t="str">
        <f>IFERROR(VLOOKUP($C330,'Test Library'!$A:$P,6,FALSE),"")</f>
        <v>High</v>
      </c>
      <c r="H330" s="14" t="inlineStr">
        <is>
          <t xml:space="preserve">Staging</t>
        </is>
      </c>
      <c r="I330" s="14" t="inlineStr">
        <is>
          <t xml:space="preserve">Not Run</t>
        </is>
      </c>
      <c r="J330" s="14"/>
      <c r="K330" s="17"/>
      <c r="L330" s="14"/>
      <c r="M330" s="14"/>
      <c r="N330" s="14"/>
      <c r="O330" s="14" t="inlineStr">
        <is>
          <t xml:space="preserve">Not Required</t>
        </is>
      </c>
      <c r="P330" s="14" t="str">
        <f>IFERROR(VLOOKUP($C330,'Test Library'!$A:$P,14,FALSE),"")</f>
        <v>Yes</v>
      </c>
      <c r="Q330" s="14"/>
    </row>
    <row r="331">
      <c r="A331" s="14" t="inlineStr">
        <is>
          <t xml:space="preserve">BETARUN-0351</t>
        </is>
      </c>
      <c r="B331" s="14" t="inlineStr">
        <is>
          <t xml:space="preserve">Beta Release</t>
        </is>
      </c>
      <c r="C331" s="14" t="inlineStr">
        <is>
          <t xml:space="preserve">RR-0351</t>
        </is>
      </c>
      <c r="D331" s="14" t="str">
        <f>IFERROR(VLOOKUP($C331,'Test Library'!$A:$P,2,FALSE),"")</f>
        <v>PWA, Push &amp; Offline</v>
      </c>
      <c r="E331" s="14" t="str">
        <f>IFERROR(VLOOKUP($C331,'Test Library'!$A:$P,3,FALSE),"")</f>
        <v>Installation and app behaviour</v>
      </c>
      <c r="F331" s="14" t="str">
        <f>IFERROR(VLOOKUP($C331,'Test Library'!$A:$P,5,FALSE),"")</f>
        <v>Home-screen icon is displayed</v>
      </c>
      <c r="G331" s="14" t="str">
        <f>IFERROR(VLOOKUP($C331,'Test Library'!$A:$P,6,FALSE),"")</f>
        <v>Medium</v>
      </c>
      <c r="H331" s="14" t="inlineStr">
        <is>
          <t xml:space="preserve">Staging</t>
        </is>
      </c>
      <c r="I331" s="14" t="inlineStr">
        <is>
          <t xml:space="preserve">Not Run</t>
        </is>
      </c>
      <c r="J331" s="14"/>
      <c r="K331" s="17"/>
      <c r="L331" s="14"/>
      <c r="M331" s="14"/>
      <c r="N331" s="14"/>
      <c r="O331" s="14" t="inlineStr">
        <is>
          <t xml:space="preserve">Not Required</t>
        </is>
      </c>
      <c r="P331" s="14" t="str">
        <f>IFERROR(VLOOKUP($C331,'Test Library'!$A:$P,14,FALSE),"")</f>
        <v>No</v>
      </c>
      <c r="Q331" s="14"/>
    </row>
    <row r="332">
      <c r="A332" s="14" t="inlineStr">
        <is>
          <t xml:space="preserve">BETARUN-0352</t>
        </is>
      </c>
      <c r="B332" s="14" t="inlineStr">
        <is>
          <t xml:space="preserve">Beta Release</t>
        </is>
      </c>
      <c r="C332" s="14" t="inlineStr">
        <is>
          <t xml:space="preserve">RR-0352</t>
        </is>
      </c>
      <c r="D332" s="14" t="str">
        <f>IFERROR(VLOOKUP($C332,'Test Library'!$A:$P,2,FALSE),"")</f>
        <v>PWA, Push &amp; Offline</v>
      </c>
      <c r="E332" s="14" t="str">
        <f>IFERROR(VLOOKUP($C332,'Test Library'!$A:$P,3,FALSE),"")</f>
        <v>Installation and app behaviour</v>
      </c>
      <c r="F332" s="14" t="str">
        <f>IFERROR(VLOOKUP($C332,'Test Library'!$A:$P,5,FALSE),"")</f>
        <v>Use browser back/forward inside standalone PWA</v>
      </c>
      <c r="G332" s="14" t="str">
        <f>IFERROR(VLOOKUP($C332,'Test Library'!$A:$P,6,FALSE),"")</f>
        <v>Medium</v>
      </c>
      <c r="H332" s="14" t="inlineStr">
        <is>
          <t xml:space="preserve">Staging</t>
        </is>
      </c>
      <c r="I332" s="14" t="inlineStr">
        <is>
          <t xml:space="preserve">Not Run</t>
        </is>
      </c>
      <c r="J332" s="14"/>
      <c r="K332" s="17"/>
      <c r="L332" s="14"/>
      <c r="M332" s="14"/>
      <c r="N332" s="14"/>
      <c r="O332" s="14" t="inlineStr">
        <is>
          <t xml:space="preserve">Not Required</t>
        </is>
      </c>
      <c r="P332" s="14" t="str">
        <f>IFERROR(VLOOKUP($C332,'Test Library'!$A:$P,14,FALSE),"")</f>
        <v>No</v>
      </c>
      <c r="Q332" s="14"/>
    </row>
    <row r="333">
      <c r="A333" s="14" t="inlineStr">
        <is>
          <t xml:space="preserve">BETARUN-0353</t>
        </is>
      </c>
      <c r="B333" s="14" t="inlineStr">
        <is>
          <t xml:space="preserve">Beta Release</t>
        </is>
      </c>
      <c r="C333" s="14" t="inlineStr">
        <is>
          <t xml:space="preserve">RR-0353</t>
        </is>
      </c>
      <c r="D333" s="14" t="str">
        <f>IFERROR(VLOOKUP($C333,'Test Library'!$A:$P,2,FALSE),"")</f>
        <v>PWA, Push &amp; Offline</v>
      </c>
      <c r="E333" s="14" t="str">
        <f>IFERROR(VLOOKUP($C333,'Test Library'!$A:$P,3,FALSE),"")</f>
        <v>Offline and poor connectivity</v>
      </c>
      <c r="F333" s="14" t="str">
        <f>IFERROR(VLOOKUP($C333,'Test Library'!$A:$P,5,FALSE),"")</f>
        <v>Open the app while fully offline</v>
      </c>
      <c r="G333" s="14" t="str">
        <f>IFERROR(VLOOKUP($C333,'Test Library'!$A:$P,6,FALSE),"")</f>
        <v>Critical</v>
      </c>
      <c r="H333" s="14" t="inlineStr">
        <is>
          <t xml:space="preserve">Staging</t>
        </is>
      </c>
      <c r="I333" s="14" t="inlineStr">
        <is>
          <t xml:space="preserve">Not Run</t>
        </is>
      </c>
      <c r="J333" s="14"/>
      <c r="K333" s="17"/>
      <c r="L333" s="14"/>
      <c r="M333" s="14"/>
      <c r="N333" s="14"/>
      <c r="O333" s="14" t="inlineStr">
        <is>
          <t xml:space="preserve">Not Required</t>
        </is>
      </c>
      <c r="P333" s="14" t="str">
        <f>IFERROR(VLOOKUP($C333,'Test Library'!$A:$P,14,FALSE),"")</f>
        <v>Yes</v>
      </c>
      <c r="Q333" s="14"/>
    </row>
    <row r="334">
      <c r="A334" s="14" t="inlineStr">
        <is>
          <t xml:space="preserve">BETARUN-0354</t>
        </is>
      </c>
      <c r="B334" s="14" t="inlineStr">
        <is>
          <t xml:space="preserve">Beta Release</t>
        </is>
      </c>
      <c r="C334" s="14" t="inlineStr">
        <is>
          <t xml:space="preserve">RR-0354</t>
        </is>
      </c>
      <c r="D334" s="14" t="str">
        <f>IFERROR(VLOOKUP($C334,'Test Library'!$A:$P,2,FALSE),"")</f>
        <v>PWA, Push &amp; Offline</v>
      </c>
      <c r="E334" s="14" t="str">
        <f>IFERROR(VLOOKUP($C334,'Test Library'!$A:$P,3,FALSE),"")</f>
        <v>Offline and poor connectivity</v>
      </c>
      <c r="F334" s="14" t="str">
        <f>IFERROR(VLOOKUP($C334,'Test Library'!$A:$P,5,FALSE),"")</f>
        <v>Lose connection while saving a rota</v>
      </c>
      <c r="G334" s="14" t="str">
        <f>IFERROR(VLOOKUP($C334,'Test Library'!$A:$P,6,FALSE),"")</f>
        <v>Critical</v>
      </c>
      <c r="H334" s="14" t="inlineStr">
        <is>
          <t xml:space="preserve">Staging</t>
        </is>
      </c>
      <c r="I334" s="14" t="inlineStr">
        <is>
          <t xml:space="preserve">Not Run</t>
        </is>
      </c>
      <c r="J334" s="14"/>
      <c r="K334" s="17"/>
      <c r="L334" s="14"/>
      <c r="M334" s="14"/>
      <c r="N334" s="14"/>
      <c r="O334" s="14" t="inlineStr">
        <is>
          <t xml:space="preserve">Not Required</t>
        </is>
      </c>
      <c r="P334" s="14" t="str">
        <f>IFERROR(VLOOKUP($C334,'Test Library'!$A:$P,14,FALSE),"")</f>
        <v>Yes</v>
      </c>
      <c r="Q334" s="14"/>
    </row>
    <row r="335">
      <c r="A335" s="14" t="inlineStr">
        <is>
          <t xml:space="preserve">BETARUN-0355</t>
        </is>
      </c>
      <c r="B335" s="14" t="inlineStr">
        <is>
          <t xml:space="preserve">Beta Release</t>
        </is>
      </c>
      <c r="C335" s="14" t="inlineStr">
        <is>
          <t xml:space="preserve">RR-0355</t>
        </is>
      </c>
      <c r="D335" s="14" t="str">
        <f>IFERROR(VLOOKUP($C335,'Test Library'!$A:$P,2,FALSE),"")</f>
        <v>PWA, Push &amp; Offline</v>
      </c>
      <c r="E335" s="14" t="str">
        <f>IFERROR(VLOOKUP($C335,'Test Library'!$A:$P,3,FALSE),"")</f>
        <v>Offline and poor connectivity</v>
      </c>
      <c r="F335" s="14" t="str">
        <f>IFERROR(VLOOKUP($C335,'Test Library'!$A:$P,5,FALSE),"")</f>
        <v>Lose connection after tapping clock-in but before response</v>
      </c>
      <c r="G335" s="14" t="str">
        <f>IFERROR(VLOOKUP($C335,'Test Library'!$A:$P,6,FALSE),"")</f>
        <v>Critical</v>
      </c>
      <c r="H335" s="14" t="inlineStr">
        <is>
          <t xml:space="preserve">Staging</t>
        </is>
      </c>
      <c r="I335" s="14" t="inlineStr">
        <is>
          <t xml:space="preserve">Not Run</t>
        </is>
      </c>
      <c r="J335" s="14"/>
      <c r="K335" s="17"/>
      <c r="L335" s="14"/>
      <c r="M335" s="14"/>
      <c r="N335" s="14"/>
      <c r="O335" s="14" t="inlineStr">
        <is>
          <t xml:space="preserve">Not Required</t>
        </is>
      </c>
      <c r="P335" s="14" t="str">
        <f>IFERROR(VLOOKUP($C335,'Test Library'!$A:$P,14,FALSE),"")</f>
        <v>Yes</v>
      </c>
      <c r="Q335" s="14"/>
    </row>
    <row r="336">
      <c r="A336" s="14" t="inlineStr">
        <is>
          <t xml:space="preserve">BETARUN-0356</t>
        </is>
      </c>
      <c r="B336" s="14" t="inlineStr">
        <is>
          <t xml:space="preserve">Beta Release</t>
        </is>
      </c>
      <c r="C336" s="14" t="inlineStr">
        <is>
          <t xml:space="preserve">RR-0356</t>
        </is>
      </c>
      <c r="D336" s="14" t="str">
        <f>IFERROR(VLOOKUP($C336,'Test Library'!$A:$P,2,FALSE),"")</f>
        <v>PWA, Push &amp; Offline</v>
      </c>
      <c r="E336" s="14" t="str">
        <f>IFERROR(VLOOKUP($C336,'Test Library'!$A:$P,3,FALSE),"")</f>
        <v>Offline and poor connectivity</v>
      </c>
      <c r="F336" s="14" t="str">
        <f>IFERROR(VLOOKUP($C336,'Test Library'!$A:$P,5,FALSE),"")</f>
        <v>Connection is slow/high latency</v>
      </c>
      <c r="G336" s="14" t="str">
        <f>IFERROR(VLOOKUP($C336,'Test Library'!$A:$P,6,FALSE),"")</f>
        <v>High</v>
      </c>
      <c r="H336" s="14" t="inlineStr">
        <is>
          <t xml:space="preserve">Staging</t>
        </is>
      </c>
      <c r="I336" s="14" t="inlineStr">
        <is>
          <t xml:space="preserve">Not Run</t>
        </is>
      </c>
      <c r="J336" s="14"/>
      <c r="K336" s="17"/>
      <c r="L336" s="14"/>
      <c r="M336" s="14"/>
      <c r="N336" s="14"/>
      <c r="O336" s="14" t="inlineStr">
        <is>
          <t xml:space="preserve">Not Required</t>
        </is>
      </c>
      <c r="P336" s="14" t="str">
        <f>IFERROR(VLOOKUP($C336,'Test Library'!$A:$P,14,FALSE),"")</f>
        <v>Yes</v>
      </c>
      <c r="Q336" s="14"/>
    </row>
    <row r="337">
      <c r="A337" s="14" t="inlineStr">
        <is>
          <t xml:space="preserve">BETARUN-0357</t>
        </is>
      </c>
      <c r="B337" s="14" t="inlineStr">
        <is>
          <t xml:space="preserve">Beta Release</t>
        </is>
      </c>
      <c r="C337" s="14" t="inlineStr">
        <is>
          <t xml:space="preserve">RR-0357</t>
        </is>
      </c>
      <c r="D337" s="14" t="str">
        <f>IFERROR(VLOOKUP($C337,'Test Library'!$A:$P,2,FALSE),"")</f>
        <v>PWA, Push &amp; Offline</v>
      </c>
      <c r="E337" s="14" t="str">
        <f>IFERROR(VLOOKUP($C337,'Test Library'!$A:$P,3,FALSE),"")</f>
        <v>Offline and poor connectivity</v>
      </c>
      <c r="F337" s="14" t="str">
        <f>IFERROR(VLOOKUP($C337,'Test Library'!$A:$P,5,FALSE),"")</f>
        <v>Cached employee data belongs to a previous user</v>
      </c>
      <c r="G337" s="14" t="str">
        <f>IFERROR(VLOOKUP($C337,'Test Library'!$A:$P,6,FALSE),"")</f>
        <v>Critical</v>
      </c>
      <c r="H337" s="14" t="inlineStr">
        <is>
          <t xml:space="preserve">Staging</t>
        </is>
      </c>
      <c r="I337" s="14" t="inlineStr">
        <is>
          <t xml:space="preserve">Not Run</t>
        </is>
      </c>
      <c r="J337" s="14"/>
      <c r="K337" s="17"/>
      <c r="L337" s="14"/>
      <c r="M337" s="14"/>
      <c r="N337" s="14"/>
      <c r="O337" s="14" t="inlineStr">
        <is>
          <t xml:space="preserve">Not Required</t>
        </is>
      </c>
      <c r="P337" s="14" t="str">
        <f>IFERROR(VLOOKUP($C337,'Test Library'!$A:$P,14,FALSE),"")</f>
        <v>Yes</v>
      </c>
      <c r="Q337" s="14"/>
    </row>
    <row r="338">
      <c r="A338" s="14" t="inlineStr">
        <is>
          <t xml:space="preserve">BETARUN-0358</t>
        </is>
      </c>
      <c r="B338" s="14" t="inlineStr">
        <is>
          <t xml:space="preserve">Beta Release</t>
        </is>
      </c>
      <c r="C338" s="14" t="inlineStr">
        <is>
          <t xml:space="preserve">RR-0358</t>
        </is>
      </c>
      <c r="D338" s="14" t="str">
        <f>IFERROR(VLOOKUP($C338,'Test Library'!$A:$P,2,FALSE),"")</f>
        <v>PWA, Push &amp; Offline</v>
      </c>
      <c r="E338" s="14" t="str">
        <f>IFERROR(VLOOKUP($C338,'Test Library'!$A:$P,3,FALSE),"")</f>
        <v>Offline and poor connectivity</v>
      </c>
      <c r="F338" s="14" t="str">
        <f>IFERROR(VLOOKUP($C338,'Test Library'!$A:$P,5,FALSE),"")</f>
        <v>Return online after offline dashboard view</v>
      </c>
      <c r="G338" s="14" t="str">
        <f>IFERROR(VLOOKUP($C338,'Test Library'!$A:$P,6,FALSE),"")</f>
        <v>High</v>
      </c>
      <c r="H338" s="14" t="inlineStr">
        <is>
          <t xml:space="preserve">Staging</t>
        </is>
      </c>
      <c r="I338" s="14" t="inlineStr">
        <is>
          <t xml:space="preserve">Not Run</t>
        </is>
      </c>
      <c r="J338" s="14"/>
      <c r="K338" s="17"/>
      <c r="L338" s="14"/>
      <c r="M338" s="14"/>
      <c r="N338" s="14"/>
      <c r="O338" s="14" t="inlineStr">
        <is>
          <t xml:space="preserve">Not Required</t>
        </is>
      </c>
      <c r="P338" s="14" t="str">
        <f>IFERROR(VLOOKUP($C338,'Test Library'!$A:$P,14,FALSE),"")</f>
        <v>Yes</v>
      </c>
      <c r="Q338" s="14"/>
    </row>
    <row r="339">
      <c r="A339" s="14" t="inlineStr">
        <is>
          <t xml:space="preserve">BETARUN-0359</t>
        </is>
      </c>
      <c r="B339" s="14" t="inlineStr">
        <is>
          <t xml:space="preserve">Beta Release</t>
        </is>
      </c>
      <c r="C339" s="14" t="inlineStr">
        <is>
          <t xml:space="preserve">RR-0359</t>
        </is>
      </c>
      <c r="D339" s="14" t="str">
        <f>IFERROR(VLOOKUP($C339,'Test Library'!$A:$P,2,FALSE),"")</f>
        <v>PWA, Push &amp; Offline</v>
      </c>
      <c r="E339" s="14" t="str">
        <f>IFERROR(VLOOKUP($C339,'Test Library'!$A:$P,3,FALSE),"")</f>
        <v>Push notifications</v>
      </c>
      <c r="F339" s="14" t="str">
        <f>IFERROR(VLOOKUP($C339,'Test Library'!$A:$P,5,FALSE),"")</f>
        <v>Grant push permission</v>
      </c>
      <c r="G339" s="14" t="str">
        <f>IFERROR(VLOOKUP($C339,'Test Library'!$A:$P,6,FALSE),"")</f>
        <v>Critical</v>
      </c>
      <c r="H339" s="14" t="inlineStr">
        <is>
          <t xml:space="preserve">Staging</t>
        </is>
      </c>
      <c r="I339" s="14" t="inlineStr">
        <is>
          <t xml:space="preserve">Not Run</t>
        </is>
      </c>
      <c r="J339" s="14"/>
      <c r="K339" s="17"/>
      <c r="L339" s="14"/>
      <c r="M339" s="14"/>
      <c r="N339" s="14"/>
      <c r="O339" s="14" t="inlineStr">
        <is>
          <t xml:space="preserve">Not Required</t>
        </is>
      </c>
      <c r="P339" s="14" t="str">
        <f>IFERROR(VLOOKUP($C339,'Test Library'!$A:$P,14,FALSE),"")</f>
        <v>Yes</v>
      </c>
      <c r="Q339" s="14"/>
    </row>
    <row r="340">
      <c r="A340" s="14" t="inlineStr">
        <is>
          <t xml:space="preserve">BETARUN-0360</t>
        </is>
      </c>
      <c r="B340" s="14" t="inlineStr">
        <is>
          <t xml:space="preserve">Beta Release</t>
        </is>
      </c>
      <c r="C340" s="14" t="inlineStr">
        <is>
          <t xml:space="preserve">RR-0360</t>
        </is>
      </c>
      <c r="D340" s="14" t="str">
        <f>IFERROR(VLOOKUP($C340,'Test Library'!$A:$P,2,FALSE),"")</f>
        <v>PWA, Push &amp; Offline</v>
      </c>
      <c r="E340" s="14" t="str">
        <f>IFERROR(VLOOKUP($C340,'Test Library'!$A:$P,3,FALSE),"")</f>
        <v>Push notifications</v>
      </c>
      <c r="F340" s="14" t="str">
        <f>IFERROR(VLOOKUP($C340,'Test Library'!$A:$P,5,FALSE),"")</f>
        <v>Deny push permission</v>
      </c>
      <c r="G340" s="14" t="str">
        <f>IFERROR(VLOOKUP($C340,'Test Library'!$A:$P,6,FALSE),"")</f>
        <v>High</v>
      </c>
      <c r="H340" s="14" t="inlineStr">
        <is>
          <t xml:space="preserve">Staging</t>
        </is>
      </c>
      <c r="I340" s="14" t="inlineStr">
        <is>
          <t xml:space="preserve">Not Run</t>
        </is>
      </c>
      <c r="J340" s="14"/>
      <c r="K340" s="17"/>
      <c r="L340" s="14"/>
      <c r="M340" s="14"/>
      <c r="N340" s="14"/>
      <c r="O340" s="14" t="inlineStr">
        <is>
          <t xml:space="preserve">Not Required</t>
        </is>
      </c>
      <c r="P340" s="14" t="str">
        <f>IFERROR(VLOOKUP($C340,'Test Library'!$A:$P,14,FALSE),"")</f>
        <v>Yes</v>
      </c>
      <c r="Q340" s="14"/>
    </row>
    <row r="341">
      <c r="A341" s="14" t="inlineStr">
        <is>
          <t xml:space="preserve">BETARUN-0361</t>
        </is>
      </c>
      <c r="B341" s="14" t="inlineStr">
        <is>
          <t xml:space="preserve">Beta Release</t>
        </is>
      </c>
      <c r="C341" s="14" t="inlineStr">
        <is>
          <t xml:space="preserve">RR-0361</t>
        </is>
      </c>
      <c r="D341" s="14" t="str">
        <f>IFERROR(VLOOKUP($C341,'Test Library'!$A:$P,2,FALSE),"")</f>
        <v>PWA, Push &amp; Offline</v>
      </c>
      <c r="E341" s="14" t="str">
        <f>IFERROR(VLOOKUP($C341,'Test Library'!$A:$P,3,FALSE),"")</f>
        <v>Push notifications</v>
      </c>
      <c r="F341" s="14" t="str">
        <f>IFERROR(VLOOKUP($C341,'Test Library'!$A:$P,5,FALSE),"")</f>
        <v>Revoke permission in OS settings</v>
      </c>
      <c r="G341" s="14" t="str">
        <f>IFERROR(VLOOKUP($C341,'Test Library'!$A:$P,6,FALSE),"")</f>
        <v>High</v>
      </c>
      <c r="H341" s="14" t="inlineStr">
        <is>
          <t xml:space="preserve">Staging</t>
        </is>
      </c>
      <c r="I341" s="14" t="inlineStr">
        <is>
          <t xml:space="preserve">Not Run</t>
        </is>
      </c>
      <c r="J341" s="14"/>
      <c r="K341" s="17"/>
      <c r="L341" s="14"/>
      <c r="M341" s="14"/>
      <c r="N341" s="14"/>
      <c r="O341" s="14" t="inlineStr">
        <is>
          <t xml:space="preserve">Not Required</t>
        </is>
      </c>
      <c r="P341" s="14" t="str">
        <f>IFERROR(VLOOKUP($C341,'Test Library'!$A:$P,14,FALSE),"")</f>
        <v>Yes</v>
      </c>
      <c r="Q341" s="14"/>
    </row>
    <row r="342">
      <c r="A342" s="14" t="inlineStr">
        <is>
          <t xml:space="preserve">BETARUN-0362</t>
        </is>
      </c>
      <c r="B342" s="14" t="inlineStr">
        <is>
          <t xml:space="preserve">Beta Release</t>
        </is>
      </c>
      <c r="C342" s="14" t="inlineStr">
        <is>
          <t xml:space="preserve">RR-0362</t>
        </is>
      </c>
      <c r="D342" s="14" t="str">
        <f>IFERROR(VLOOKUP($C342,'Test Library'!$A:$P,2,FALSE),"")</f>
        <v>PWA, Push &amp; Offline</v>
      </c>
      <c r="E342" s="14" t="str">
        <f>IFERROR(VLOOKUP($C342,'Test Library'!$A:$P,3,FALSE),"")</f>
        <v>Push notifications</v>
      </c>
      <c r="F342" s="14" t="str">
        <f>IFERROR(VLOOKUP($C342,'Test Library'!$A:$P,5,FALSE),"")</f>
        <v>Receive push while app is foregrounded</v>
      </c>
      <c r="G342" s="14" t="str">
        <f>IFERROR(VLOOKUP($C342,'Test Library'!$A:$P,6,FALSE),"")</f>
        <v>High</v>
      </c>
      <c r="H342" s="14" t="inlineStr">
        <is>
          <t xml:space="preserve">Staging</t>
        </is>
      </c>
      <c r="I342" s="14" t="inlineStr">
        <is>
          <t xml:space="preserve">Not Run</t>
        </is>
      </c>
      <c r="J342" s="14"/>
      <c r="K342" s="17"/>
      <c r="L342" s="14"/>
      <c r="M342" s="14"/>
      <c r="N342" s="14"/>
      <c r="O342" s="14" t="inlineStr">
        <is>
          <t xml:space="preserve">Not Required</t>
        </is>
      </c>
      <c r="P342" s="14" t="str">
        <f>IFERROR(VLOOKUP($C342,'Test Library'!$A:$P,14,FALSE),"")</f>
        <v>Yes</v>
      </c>
      <c r="Q342" s="14"/>
    </row>
    <row r="343">
      <c r="A343" s="14" t="inlineStr">
        <is>
          <t xml:space="preserve">BETARUN-0363</t>
        </is>
      </c>
      <c r="B343" s="14" t="inlineStr">
        <is>
          <t xml:space="preserve">Beta Release</t>
        </is>
      </c>
      <c r="C343" s="14" t="inlineStr">
        <is>
          <t xml:space="preserve">RR-0363</t>
        </is>
      </c>
      <c r="D343" s="14" t="str">
        <f>IFERROR(VLOOKUP($C343,'Test Library'!$A:$P,2,FALSE),"")</f>
        <v>PWA, Push &amp; Offline</v>
      </c>
      <c r="E343" s="14" t="str">
        <f>IFERROR(VLOOKUP($C343,'Test Library'!$A:$P,3,FALSE),"")</f>
        <v>Push notifications</v>
      </c>
      <c r="F343" s="14" t="str">
        <f>IFERROR(VLOOKUP($C343,'Test Library'!$A:$P,5,FALSE),"")</f>
        <v>Receive push while app is closed</v>
      </c>
      <c r="G343" s="14" t="str">
        <f>IFERROR(VLOOKUP($C343,'Test Library'!$A:$P,6,FALSE),"")</f>
        <v>Critical</v>
      </c>
      <c r="H343" s="14" t="inlineStr">
        <is>
          <t xml:space="preserve">Staging</t>
        </is>
      </c>
      <c r="I343" s="14" t="inlineStr">
        <is>
          <t xml:space="preserve">Not Run</t>
        </is>
      </c>
      <c r="J343" s="14"/>
      <c r="K343" s="17"/>
      <c r="L343" s="14"/>
      <c r="M343" s="14"/>
      <c r="N343" s="14"/>
      <c r="O343" s="14" t="inlineStr">
        <is>
          <t xml:space="preserve">Not Required</t>
        </is>
      </c>
      <c r="P343" s="14" t="str">
        <f>IFERROR(VLOOKUP($C343,'Test Library'!$A:$P,14,FALSE),"")</f>
        <v>Yes</v>
      </c>
      <c r="Q343" s="14"/>
    </row>
    <row r="344">
      <c r="A344" s="14" t="inlineStr">
        <is>
          <t xml:space="preserve">BETARUN-0364</t>
        </is>
      </c>
      <c r="B344" s="14" t="inlineStr">
        <is>
          <t xml:space="preserve">Beta Release</t>
        </is>
      </c>
      <c r="C344" s="14" t="inlineStr">
        <is>
          <t xml:space="preserve">RR-0364</t>
        </is>
      </c>
      <c r="D344" s="14" t="str">
        <f>IFERROR(VLOOKUP($C344,'Test Library'!$A:$P,2,FALSE),"")</f>
        <v>PWA, Push &amp; Offline</v>
      </c>
      <c r="E344" s="14" t="str">
        <f>IFERROR(VLOOKUP($C344,'Test Library'!$A:$P,3,FALSE),"")</f>
        <v>Push notifications</v>
      </c>
      <c r="F344" s="14" t="str">
        <f>IFERROR(VLOOKUP($C344,'Test Library'!$A:$P,5,FALSE),"")</f>
        <v>Tap push for a location no longer accessible</v>
      </c>
      <c r="G344" s="14" t="str">
        <f>IFERROR(VLOOKUP($C344,'Test Library'!$A:$P,6,FALSE),"")</f>
        <v>Critical</v>
      </c>
      <c r="H344" s="14" t="inlineStr">
        <is>
          <t xml:space="preserve">Staging</t>
        </is>
      </c>
      <c r="I344" s="14" t="inlineStr">
        <is>
          <t xml:space="preserve">Not Run</t>
        </is>
      </c>
      <c r="J344" s="14"/>
      <c r="K344" s="17"/>
      <c r="L344" s="14"/>
      <c r="M344" s="14"/>
      <c r="N344" s="14"/>
      <c r="O344" s="14" t="inlineStr">
        <is>
          <t xml:space="preserve">Not Required</t>
        </is>
      </c>
      <c r="P344" s="14" t="str">
        <f>IFERROR(VLOOKUP($C344,'Test Library'!$A:$P,14,FALSE),"")</f>
        <v>Yes</v>
      </c>
      <c r="Q344" s="14"/>
    </row>
    <row r="345">
      <c r="A345" s="14" t="inlineStr">
        <is>
          <t xml:space="preserve">BETARUN-0365</t>
        </is>
      </c>
      <c r="B345" s="14" t="inlineStr">
        <is>
          <t xml:space="preserve">Beta Release</t>
        </is>
      </c>
      <c r="C345" s="14" t="inlineStr">
        <is>
          <t xml:space="preserve">RR-0365</t>
        </is>
      </c>
      <c r="D345" s="14" t="str">
        <f>IFERROR(VLOOKUP($C345,'Test Library'!$A:$P,2,FALSE),"")</f>
        <v>PWA, Push &amp; Offline</v>
      </c>
      <c r="E345" s="14" t="str">
        <f>IFERROR(VLOOKUP($C345,'Test Library'!$A:$P,3,FALSE),"")</f>
        <v>Push notifications</v>
      </c>
      <c r="F345" s="14" t="str">
        <f>IFERROR(VLOOKUP($C345,'Test Library'!$A:$P,5,FALSE),"")</f>
        <v>Push token expires or provider returns invalid token</v>
      </c>
      <c r="G345" s="14" t="str">
        <f>IFERROR(VLOOKUP($C345,'Test Library'!$A:$P,6,FALSE),"")</f>
        <v>High</v>
      </c>
      <c r="H345" s="14" t="inlineStr">
        <is>
          <t xml:space="preserve">Staging</t>
        </is>
      </c>
      <c r="I345" s="14" t="inlineStr">
        <is>
          <t xml:space="preserve">Not Run</t>
        </is>
      </c>
      <c r="J345" s="14"/>
      <c r="K345" s="17"/>
      <c r="L345" s="14"/>
      <c r="M345" s="14"/>
      <c r="N345" s="14"/>
      <c r="O345" s="14" t="inlineStr">
        <is>
          <t xml:space="preserve">Not Required</t>
        </is>
      </c>
      <c r="P345" s="14" t="str">
        <f>IFERROR(VLOOKUP($C345,'Test Library'!$A:$P,14,FALSE),"")</f>
        <v>Yes</v>
      </c>
      <c r="Q345" s="14"/>
    </row>
    <row r="346">
      <c r="A346" s="14" t="inlineStr">
        <is>
          <t xml:space="preserve">BETARUN-0366</t>
        </is>
      </c>
      <c r="B346" s="14" t="inlineStr">
        <is>
          <t xml:space="preserve">Beta Release</t>
        </is>
      </c>
      <c r="C346" s="14" t="inlineStr">
        <is>
          <t xml:space="preserve">RR-0366</t>
        </is>
      </c>
      <c r="D346" s="14" t="str">
        <f>IFERROR(VLOOKUP($C346,'Test Library'!$A:$P,2,FALSE),"")</f>
        <v>PWA, Push &amp; Offline</v>
      </c>
      <c r="E346" s="14" t="str">
        <f>IFERROR(VLOOKUP($C346,'Test Library'!$A:$P,3,FALSE),"")</f>
        <v>Push notifications</v>
      </c>
      <c r="F346" s="14" t="str">
        <f>IFERROR(VLOOKUP($C346,'Test Library'!$A:$P,5,FALSE),"")</f>
        <v>User has multiple devices</v>
      </c>
      <c r="G346" s="14" t="str">
        <f>IFERROR(VLOOKUP($C346,'Test Library'!$A:$P,6,FALSE),"")</f>
        <v>High</v>
      </c>
      <c r="H346" s="14" t="inlineStr">
        <is>
          <t xml:space="preserve">Staging</t>
        </is>
      </c>
      <c r="I346" s="14" t="inlineStr">
        <is>
          <t xml:space="preserve">Not Run</t>
        </is>
      </c>
      <c r="J346" s="14"/>
      <c r="K346" s="17"/>
      <c r="L346" s="14"/>
      <c r="M346" s="14"/>
      <c r="N346" s="14"/>
      <c r="O346" s="14" t="inlineStr">
        <is>
          <t xml:space="preserve">Not Required</t>
        </is>
      </c>
      <c r="P346" s="14" t="str">
        <f>IFERROR(VLOOKUP($C346,'Test Library'!$A:$P,14,FALSE),"")</f>
        <v>Yes</v>
      </c>
      <c r="Q346" s="14"/>
    </row>
    <row r="347">
      <c r="A347" s="14" t="inlineStr">
        <is>
          <t xml:space="preserve">BETARUN-0367</t>
        </is>
      </c>
      <c r="B347" s="14" t="inlineStr">
        <is>
          <t xml:space="preserve">Beta Release</t>
        </is>
      </c>
      <c r="C347" s="14" t="inlineStr">
        <is>
          <t xml:space="preserve">RR-0367</t>
        </is>
      </c>
      <c r="D347" s="14" t="str">
        <f>IFERROR(VLOOKUP($C347,'Test Library'!$A:$P,2,FALSE),"")</f>
        <v>Admin Console &amp; Support</v>
      </c>
      <c r="E347" s="14" t="str">
        <f>IFERROR(VLOOKUP($C347,'Test Library'!$A:$P,3,FALSE),"")</f>
        <v>Customer and support operations</v>
      </c>
      <c r="F347" s="14" t="str">
        <f>IFERROR(VLOOKUP($C347,'Test Library'!$A:$P,5,FALSE),"")</f>
        <v>List organisations with search and filters</v>
      </c>
      <c r="G347" s="14" t="str">
        <f>IFERROR(VLOOKUP($C347,'Test Library'!$A:$P,6,FALSE),"")</f>
        <v>Critical</v>
      </c>
      <c r="H347" s="14" t="inlineStr">
        <is>
          <t xml:space="preserve">Staging</t>
        </is>
      </c>
      <c r="I347" s="14" t="inlineStr">
        <is>
          <t xml:space="preserve">Not Run</t>
        </is>
      </c>
      <c r="J347" s="14"/>
      <c r="K347" s="17"/>
      <c r="L347" s="14"/>
      <c r="M347" s="14"/>
      <c r="N347" s="14"/>
      <c r="O347" s="14" t="inlineStr">
        <is>
          <t xml:space="preserve">Not Required</t>
        </is>
      </c>
      <c r="P347" s="14" t="str">
        <f>IFERROR(VLOOKUP($C347,'Test Library'!$A:$P,14,FALSE),"")</f>
        <v>Yes</v>
      </c>
      <c r="Q347" s="14"/>
    </row>
    <row r="348">
      <c r="A348" s="14" t="inlineStr">
        <is>
          <t xml:space="preserve">BETARUN-0368</t>
        </is>
      </c>
      <c r="B348" s="14" t="inlineStr">
        <is>
          <t xml:space="preserve">Beta Release</t>
        </is>
      </c>
      <c r="C348" s="14" t="inlineStr">
        <is>
          <t xml:space="preserve">RR-0368</t>
        </is>
      </c>
      <c r="D348" s="14" t="str">
        <f>IFERROR(VLOOKUP($C348,'Test Library'!$A:$P,2,FALSE),"")</f>
        <v>Admin Console &amp; Support</v>
      </c>
      <c r="E348" s="14" t="str">
        <f>IFERROR(VLOOKUP($C348,'Test Library'!$A:$P,3,FALSE),"")</f>
        <v>Customer and support operations</v>
      </c>
      <c r="F348" s="14" t="str">
        <f>IFERROR(VLOOKUP($C348,'Test Library'!$A:$P,5,FALSE),"")</f>
        <v>Open customer overview</v>
      </c>
      <c r="G348" s="14" t="str">
        <f>IFERROR(VLOOKUP($C348,'Test Library'!$A:$P,6,FALSE),"")</f>
        <v>High</v>
      </c>
      <c r="H348" s="14" t="inlineStr">
        <is>
          <t xml:space="preserve">Staging</t>
        </is>
      </c>
      <c r="I348" s="14" t="inlineStr">
        <is>
          <t xml:space="preserve">Not Run</t>
        </is>
      </c>
      <c r="J348" s="14"/>
      <c r="K348" s="17"/>
      <c r="L348" s="14"/>
      <c r="M348" s="14"/>
      <c r="N348" s="14"/>
      <c r="O348" s="14" t="inlineStr">
        <is>
          <t xml:space="preserve">Not Required</t>
        </is>
      </c>
      <c r="P348" s="14" t="str">
        <f>IFERROR(VLOOKUP($C348,'Test Library'!$A:$P,14,FALSE),"")</f>
        <v>Yes</v>
      </c>
      <c r="Q348" s="14"/>
    </row>
    <row r="349">
      <c r="A349" s="14" t="inlineStr">
        <is>
          <t xml:space="preserve">BETARUN-0369</t>
        </is>
      </c>
      <c r="B349" s="14" t="inlineStr">
        <is>
          <t xml:space="preserve">Beta Release</t>
        </is>
      </c>
      <c r="C349" s="14" t="inlineStr">
        <is>
          <t xml:space="preserve">RR-0369</t>
        </is>
      </c>
      <c r="D349" s="14" t="str">
        <f>IFERROR(VLOOKUP($C349,'Test Library'!$A:$P,2,FALSE),"")</f>
        <v>Admin Console &amp; Support</v>
      </c>
      <c r="E349" s="14" t="str">
        <f>IFERROR(VLOOKUP($C349,'Test Library'!$A:$P,3,FALSE),"")</f>
        <v>Customer and support operations</v>
      </c>
      <c r="F349" s="14" t="str">
        <f>IFERROR(VLOOKUP($C349,'Test Library'!$A:$P,5,FALSE),"")</f>
        <v>View a customer's recent errors</v>
      </c>
      <c r="G349" s="14" t="str">
        <f>IFERROR(VLOOKUP($C349,'Test Library'!$A:$P,6,FALSE),"")</f>
        <v>High</v>
      </c>
      <c r="H349" s="14" t="inlineStr">
        <is>
          <t xml:space="preserve">Staging</t>
        </is>
      </c>
      <c r="I349" s="14" t="inlineStr">
        <is>
          <t xml:space="preserve">Not Run</t>
        </is>
      </c>
      <c r="J349" s="14"/>
      <c r="K349" s="17"/>
      <c r="L349" s="14"/>
      <c r="M349" s="14"/>
      <c r="N349" s="14"/>
      <c r="O349" s="14" t="inlineStr">
        <is>
          <t xml:space="preserve">Not Required</t>
        </is>
      </c>
      <c r="P349" s="14" t="str">
        <f>IFERROR(VLOOKUP($C349,'Test Library'!$A:$P,14,FALSE),"")</f>
        <v>Yes</v>
      </c>
      <c r="Q349" s="14"/>
    </row>
    <row r="350">
      <c r="A350" s="14" t="inlineStr">
        <is>
          <t xml:space="preserve">BETARUN-0370</t>
        </is>
      </c>
      <c r="B350" s="14" t="inlineStr">
        <is>
          <t xml:space="preserve">Beta Release</t>
        </is>
      </c>
      <c r="C350" s="14" t="inlineStr">
        <is>
          <t xml:space="preserve">RR-0370</t>
        </is>
      </c>
      <c r="D350" s="14" t="str">
        <f>IFERROR(VLOOKUP($C350,'Test Library'!$A:$P,2,FALSE),"")</f>
        <v>Admin Console &amp; Support</v>
      </c>
      <c r="E350" s="14" t="str">
        <f>IFERROR(VLOOKUP($C350,'Test Library'!$A:$P,3,FALSE),"")</f>
        <v>Customer and support operations</v>
      </c>
      <c r="F350" s="14" t="str">
        <f>IFERROR(VLOOKUP($C350,'Test Library'!$A:$P,5,FALSE),"")</f>
        <v>Resend a failed invitation</v>
      </c>
      <c r="G350" s="14" t="str">
        <f>IFERROR(VLOOKUP($C350,'Test Library'!$A:$P,6,FALSE),"")</f>
        <v>High</v>
      </c>
      <c r="H350" s="14" t="inlineStr">
        <is>
          <t xml:space="preserve">Staging</t>
        </is>
      </c>
      <c r="I350" s="14" t="inlineStr">
        <is>
          <t xml:space="preserve">Not Run</t>
        </is>
      </c>
      <c r="J350" s="14"/>
      <c r="K350" s="17"/>
      <c r="L350" s="14"/>
      <c r="M350" s="14"/>
      <c r="N350" s="14"/>
      <c r="O350" s="14" t="inlineStr">
        <is>
          <t xml:space="preserve">Not Required</t>
        </is>
      </c>
      <c r="P350" s="14" t="str">
        <f>IFERROR(VLOOKUP($C350,'Test Library'!$A:$P,14,FALSE),"")</f>
        <v>Yes</v>
      </c>
      <c r="Q350" s="14"/>
    </row>
    <row r="351">
      <c r="A351" s="14" t="inlineStr">
        <is>
          <t xml:space="preserve">BETARUN-0371</t>
        </is>
      </c>
      <c r="B351" s="14" t="inlineStr">
        <is>
          <t xml:space="preserve">Beta Release</t>
        </is>
      </c>
      <c r="C351" s="14" t="inlineStr">
        <is>
          <t xml:space="preserve">RR-0371</t>
        </is>
      </c>
      <c r="D351" s="14" t="str">
        <f>IFERROR(VLOOKUP($C351,'Test Library'!$A:$P,2,FALSE),"")</f>
        <v>Admin Console &amp; Support</v>
      </c>
      <c r="E351" s="14" t="str">
        <f>IFERROR(VLOOKUP($C351,'Test Library'!$A:$P,3,FALSE),"")</f>
        <v>Customer and support operations</v>
      </c>
      <c r="F351" s="14" t="str">
        <f>IFERROR(VLOOKUP($C351,'Test Library'!$A:$P,5,FALSE),"")</f>
        <v>Trigger a supported transactional email manually</v>
      </c>
      <c r="G351" s="14" t="str">
        <f>IFERROR(VLOOKUP($C351,'Test Library'!$A:$P,6,FALSE),"")</f>
        <v>High</v>
      </c>
      <c r="H351" s="14" t="inlineStr">
        <is>
          <t xml:space="preserve">Staging</t>
        </is>
      </c>
      <c r="I351" s="14" t="inlineStr">
        <is>
          <t xml:space="preserve">Not Run</t>
        </is>
      </c>
      <c r="J351" s="14"/>
      <c r="K351" s="17"/>
      <c r="L351" s="14"/>
      <c r="M351" s="14"/>
      <c r="N351" s="14"/>
      <c r="O351" s="14" t="inlineStr">
        <is>
          <t xml:space="preserve">Not Required</t>
        </is>
      </c>
      <c r="P351" s="14" t="str">
        <f>IFERROR(VLOOKUP($C351,'Test Library'!$A:$P,14,FALSE),"")</f>
        <v>Yes</v>
      </c>
      <c r="Q351" s="14"/>
    </row>
    <row r="352">
      <c r="A352" s="14" t="inlineStr">
        <is>
          <t xml:space="preserve">BETARUN-0372</t>
        </is>
      </c>
      <c r="B352" s="14" t="inlineStr">
        <is>
          <t xml:space="preserve">Beta Release</t>
        </is>
      </c>
      <c r="C352" s="14" t="inlineStr">
        <is>
          <t xml:space="preserve">RR-0372</t>
        </is>
      </c>
      <c r="D352" s="14" t="str">
        <f>IFERROR(VLOOKUP($C352,'Test Library'!$A:$P,2,FALSE),"")</f>
        <v>Admin Console &amp; Support</v>
      </c>
      <c r="E352" s="14" t="str">
        <f>IFERROR(VLOOKUP($C352,'Test Library'!$A:$P,3,FALSE),"")</f>
        <v>Customer and support operations</v>
      </c>
      <c r="F352" s="14" t="str">
        <f>IFERROR(VLOOKUP($C352,'Test Library'!$A:$P,5,FALSE),"")</f>
        <v>Apply an approved account override</v>
      </c>
      <c r="G352" s="14" t="str">
        <f>IFERROR(VLOOKUP($C352,'Test Library'!$A:$P,6,FALSE),"")</f>
        <v>Critical</v>
      </c>
      <c r="H352" s="14" t="inlineStr">
        <is>
          <t xml:space="preserve">Staging</t>
        </is>
      </c>
      <c r="I352" s="14" t="inlineStr">
        <is>
          <t xml:space="preserve">Not Run</t>
        </is>
      </c>
      <c r="J352" s="14"/>
      <c r="K352" s="17"/>
      <c r="L352" s="14"/>
      <c r="M352" s="14"/>
      <c r="N352" s="14"/>
      <c r="O352" s="14" t="inlineStr">
        <is>
          <t xml:space="preserve">Not Required</t>
        </is>
      </c>
      <c r="P352" s="14" t="str">
        <f>IFERROR(VLOOKUP($C352,'Test Library'!$A:$P,14,FALSE),"")</f>
        <v>Yes</v>
      </c>
      <c r="Q352" s="14"/>
    </row>
    <row r="353">
      <c r="A353" s="14" t="inlineStr">
        <is>
          <t xml:space="preserve">BETARUN-0373</t>
        </is>
      </c>
      <c r="B353" s="14" t="inlineStr">
        <is>
          <t xml:space="preserve">Beta Release</t>
        </is>
      </c>
      <c r="C353" s="14" t="inlineStr">
        <is>
          <t xml:space="preserve">RR-0373</t>
        </is>
      </c>
      <c r="D353" s="14" t="str">
        <f>IFERROR(VLOOKUP($C353,'Test Library'!$A:$P,2,FALSE),"")</f>
        <v>Admin Console &amp; Support</v>
      </c>
      <c r="E353" s="14" t="str">
        <f>IFERROR(VLOOKUP($C353,'Test Library'!$A:$P,3,FALSE),"")</f>
        <v>Customer and support operations</v>
      </c>
      <c r="F353" s="14" t="str">
        <f>IFERROR(VLOOKUP($C353,'Test Library'!$A:$P,5,FALSE),"")</f>
        <v>Impersonate an organisation owner</v>
      </c>
      <c r="G353" s="14" t="str">
        <f>IFERROR(VLOOKUP($C353,'Test Library'!$A:$P,6,FALSE),"")</f>
        <v>Critical</v>
      </c>
      <c r="H353" s="14" t="inlineStr">
        <is>
          <t xml:space="preserve">Staging</t>
        </is>
      </c>
      <c r="I353" s="14" t="inlineStr">
        <is>
          <t xml:space="preserve">Not Run</t>
        </is>
      </c>
      <c r="J353" s="14"/>
      <c r="K353" s="17"/>
      <c r="L353" s="14"/>
      <c r="M353" s="14"/>
      <c r="N353" s="14"/>
      <c r="O353" s="14" t="inlineStr">
        <is>
          <t xml:space="preserve">Not Required</t>
        </is>
      </c>
      <c r="P353" s="14" t="str">
        <f>IFERROR(VLOOKUP($C353,'Test Library'!$A:$P,14,FALSE),"")</f>
        <v>Yes</v>
      </c>
      <c r="Q353" s="14"/>
    </row>
    <row r="354">
      <c r="A354" s="14" t="inlineStr">
        <is>
          <t xml:space="preserve">BETARUN-0374</t>
        </is>
      </c>
      <c r="B354" s="14" t="inlineStr">
        <is>
          <t xml:space="preserve">Beta Release</t>
        </is>
      </c>
      <c r="C354" s="14" t="inlineStr">
        <is>
          <t xml:space="preserve">RR-0374</t>
        </is>
      </c>
      <c r="D354" s="14" t="str">
        <f>IFERROR(VLOOKUP($C354,'Test Library'!$A:$P,2,FALSE),"")</f>
        <v>Admin Console &amp; Support</v>
      </c>
      <c r="E354" s="14" t="str">
        <f>IFERROR(VLOOKUP($C354,'Test Library'!$A:$P,3,FALSE),"")</f>
        <v>Customer and support operations</v>
      </c>
      <c r="F354" s="14" t="str">
        <f>IFERROR(VLOOKUP($C354,'Test Library'!$A:$P,5,FALSE),"")</f>
        <v>Exit impersonation</v>
      </c>
      <c r="G354" s="14" t="str">
        <f>IFERROR(VLOOKUP($C354,'Test Library'!$A:$P,6,FALSE),"")</f>
        <v>Critical</v>
      </c>
      <c r="H354" s="14" t="inlineStr">
        <is>
          <t xml:space="preserve">Staging</t>
        </is>
      </c>
      <c r="I354" s="14" t="inlineStr">
        <is>
          <t xml:space="preserve">Not Run</t>
        </is>
      </c>
      <c r="J354" s="14"/>
      <c r="K354" s="17"/>
      <c r="L354" s="14"/>
      <c r="M354" s="14"/>
      <c r="N354" s="14"/>
      <c r="O354" s="14" t="inlineStr">
        <is>
          <t xml:space="preserve">Not Required</t>
        </is>
      </c>
      <c r="P354" s="14" t="str">
        <f>IFERROR(VLOOKUP($C354,'Test Library'!$A:$P,14,FALSE),"")</f>
        <v>Yes</v>
      </c>
      <c r="Q354" s="14"/>
    </row>
    <row r="355">
      <c r="A355" s="14" t="inlineStr">
        <is>
          <t xml:space="preserve">BETARUN-0375</t>
        </is>
      </c>
      <c r="B355" s="14" t="inlineStr">
        <is>
          <t xml:space="preserve">Beta Release</t>
        </is>
      </c>
      <c r="C355" s="14" t="inlineStr">
        <is>
          <t xml:space="preserve">RR-0375</t>
        </is>
      </c>
      <c r="D355" s="14" t="str">
        <f>IFERROR(VLOOKUP($C355,'Test Library'!$A:$P,2,FALSE),"")</f>
        <v>Admin Console &amp; Support</v>
      </c>
      <c r="E355" s="14" t="str">
        <f>IFERROR(VLOOKUP($C355,'Test Library'!$A:$P,3,FALSE),"")</f>
        <v>Customer and support operations</v>
      </c>
      <c r="F355" s="14" t="str">
        <f>IFERROR(VLOOKUP($C355,'Test Library'!$A:$P,5,FALSE),"")</f>
        <v>Search by station identifier</v>
      </c>
      <c r="G355" s="14" t="str">
        <f>IFERROR(VLOOKUP($C355,'Test Library'!$A:$P,6,FALSE),"")</f>
        <v>High</v>
      </c>
      <c r="H355" s="14" t="inlineStr">
        <is>
          <t xml:space="preserve">Staging</t>
        </is>
      </c>
      <c r="I355" s="14" t="inlineStr">
        <is>
          <t xml:space="preserve">Not Run</t>
        </is>
      </c>
      <c r="J355" s="14"/>
      <c r="K355" s="17"/>
      <c r="L355" s="14"/>
      <c r="M355" s="14"/>
      <c r="N355" s="14"/>
      <c r="O355" s="14" t="inlineStr">
        <is>
          <t xml:space="preserve">Not Required</t>
        </is>
      </c>
      <c r="P355" s="14" t="str">
        <f>IFERROR(VLOOKUP($C355,'Test Library'!$A:$P,14,FALSE),"")</f>
        <v>Yes</v>
      </c>
      <c r="Q355" s="14"/>
    </row>
    <row r="356">
      <c r="A356" s="14" t="inlineStr">
        <is>
          <t xml:space="preserve">BETARUN-0376</t>
        </is>
      </c>
      <c r="B356" s="14" t="inlineStr">
        <is>
          <t xml:space="preserve">Beta Release</t>
        </is>
      </c>
      <c r="C356" s="14" t="inlineStr">
        <is>
          <t xml:space="preserve">RR-0376</t>
        </is>
      </c>
      <c r="D356" s="14" t="str">
        <f>IFERROR(VLOOKUP($C356,'Test Library'!$A:$P,2,FALSE),"")</f>
        <v>Admin Console &amp; Support</v>
      </c>
      <c r="E356" s="14" t="str">
        <f>IFERROR(VLOOKUP($C356,'Test Library'!$A:$P,3,FALSE),"")</f>
        <v>Customer and support operations</v>
      </c>
      <c r="F356" s="14" t="str">
        <f>IFERROR(VLOOKUP($C356,'Test Library'!$A:$P,5,FALSE),"")</f>
        <v>View clock-in validation failures</v>
      </c>
      <c r="G356" s="14" t="str">
        <f>IFERROR(VLOOKUP($C356,'Test Library'!$A:$P,6,FALSE),"")</f>
        <v>Critical</v>
      </c>
      <c r="H356" s="14" t="inlineStr">
        <is>
          <t xml:space="preserve">Staging</t>
        </is>
      </c>
      <c r="I356" s="14" t="inlineStr">
        <is>
          <t xml:space="preserve">Not Run</t>
        </is>
      </c>
      <c r="J356" s="14"/>
      <c r="K356" s="17"/>
      <c r="L356" s="14"/>
      <c r="M356" s="14"/>
      <c r="N356" s="14"/>
      <c r="O356" s="14" t="inlineStr">
        <is>
          <t xml:space="preserve">Not Required</t>
        </is>
      </c>
      <c r="P356" s="14" t="str">
        <f>IFERROR(VLOOKUP($C356,'Test Library'!$A:$P,14,FALSE),"")</f>
        <v>Yes</v>
      </c>
      <c r="Q356" s="14"/>
    </row>
    <row r="357">
      <c r="A357" s="14" t="inlineStr">
        <is>
          <t xml:space="preserve">BETARUN-0377</t>
        </is>
      </c>
      <c r="B357" s="14" t="inlineStr">
        <is>
          <t xml:space="preserve">Beta Release</t>
        </is>
      </c>
      <c r="C357" s="14" t="inlineStr">
        <is>
          <t xml:space="preserve">RR-0377</t>
        </is>
      </c>
      <c r="D357" s="14" t="str">
        <f>IFERROR(VLOOKUP($C357,'Test Library'!$A:$P,2,FALSE),"")</f>
        <v>Admin Console &amp; Support</v>
      </c>
      <c r="E357" s="14" t="str">
        <f>IFERROR(VLOOKUP($C357,'Test Library'!$A:$P,3,FALSE),"")</f>
        <v>Feature flags, issues and auditing</v>
      </c>
      <c r="F357" s="14" t="str">
        <f>IFERROR(VLOOKUP($C357,'Test Library'!$A:$P,5,FALSE),"")</f>
        <v>Enable a feature flag for one organisation</v>
      </c>
      <c r="G357" s="14" t="str">
        <f>IFERROR(VLOOKUP($C357,'Test Library'!$A:$P,6,FALSE),"")</f>
        <v>Critical</v>
      </c>
      <c r="H357" s="14" t="inlineStr">
        <is>
          <t xml:space="preserve">Staging</t>
        </is>
      </c>
      <c r="I357" s="14" t="inlineStr">
        <is>
          <t xml:space="preserve">Not Run</t>
        </is>
      </c>
      <c r="J357" s="14"/>
      <c r="K357" s="17"/>
      <c r="L357" s="14"/>
      <c r="M357" s="14"/>
      <c r="N357" s="14"/>
      <c r="O357" s="14" t="inlineStr">
        <is>
          <t xml:space="preserve">Not Required</t>
        </is>
      </c>
      <c r="P357" s="14" t="str">
        <f>IFERROR(VLOOKUP($C357,'Test Library'!$A:$P,14,FALSE),"")</f>
        <v>Yes</v>
      </c>
      <c r="Q357" s="14"/>
    </row>
    <row r="358">
      <c r="A358" s="14" t="inlineStr">
        <is>
          <t xml:space="preserve">BETARUN-0378</t>
        </is>
      </c>
      <c r="B358" s="14" t="inlineStr">
        <is>
          <t xml:space="preserve">Beta Release</t>
        </is>
      </c>
      <c r="C358" s="14" t="inlineStr">
        <is>
          <t xml:space="preserve">RR-0378</t>
        </is>
      </c>
      <c r="D358" s="14" t="str">
        <f>IFERROR(VLOOKUP($C358,'Test Library'!$A:$P,2,FALSE),"")</f>
        <v>Admin Console &amp; Support</v>
      </c>
      <c r="E358" s="14" t="str">
        <f>IFERROR(VLOOKUP($C358,'Test Library'!$A:$P,3,FALSE),"")</f>
        <v>Feature flags, issues and auditing</v>
      </c>
      <c r="F358" s="14" t="str">
        <f>IFERROR(VLOOKUP($C358,'Test Library'!$A:$P,5,FALSE),"")</f>
        <v>Disable a feature flag</v>
      </c>
      <c r="G358" s="14" t="str">
        <f>IFERROR(VLOOKUP($C358,'Test Library'!$A:$P,6,FALSE),"")</f>
        <v>High</v>
      </c>
      <c r="H358" s="14" t="inlineStr">
        <is>
          <t xml:space="preserve">Staging</t>
        </is>
      </c>
      <c r="I358" s="14" t="inlineStr">
        <is>
          <t xml:space="preserve">Not Run</t>
        </is>
      </c>
      <c r="J358" s="14"/>
      <c r="K358" s="17"/>
      <c r="L358" s="14"/>
      <c r="M358" s="14"/>
      <c r="N358" s="14"/>
      <c r="O358" s="14" t="inlineStr">
        <is>
          <t xml:space="preserve">Not Required</t>
        </is>
      </c>
      <c r="P358" s="14" t="str">
        <f>IFERROR(VLOOKUP($C358,'Test Library'!$A:$P,14,FALSE),"")</f>
        <v>Yes</v>
      </c>
      <c r="Q358" s="14"/>
    </row>
    <row r="359">
      <c r="A359" s="14" t="inlineStr">
        <is>
          <t xml:space="preserve">BETARUN-0379</t>
        </is>
      </c>
      <c r="B359" s="14" t="inlineStr">
        <is>
          <t xml:space="preserve">Beta Release</t>
        </is>
      </c>
      <c r="C359" s="14" t="inlineStr">
        <is>
          <t xml:space="preserve">RR-0379</t>
        </is>
      </c>
      <c r="D359" s="14" t="str">
        <f>IFERROR(VLOOKUP($C359,'Test Library'!$A:$P,2,FALSE),"")</f>
        <v>Admin Console &amp; Support</v>
      </c>
      <c r="E359" s="14" t="str">
        <f>IFERROR(VLOOKUP($C359,'Test Library'!$A:$P,3,FALSE),"")</f>
        <v>Feature flags, issues and auditing</v>
      </c>
      <c r="F359" s="14" t="str">
        <f>IFERROR(VLOOKUP($C359,'Test Library'!$A:$P,5,FALSE),"")</f>
        <v>Set a percentage/global rollout</v>
      </c>
      <c r="G359" s="14" t="str">
        <f>IFERROR(VLOOKUP($C359,'Test Library'!$A:$P,6,FALSE),"")</f>
        <v>High</v>
      </c>
      <c r="H359" s="14" t="inlineStr">
        <is>
          <t xml:space="preserve">Staging</t>
        </is>
      </c>
      <c r="I359" s="14" t="inlineStr">
        <is>
          <t xml:space="preserve">Not Run</t>
        </is>
      </c>
      <c r="J359" s="14"/>
      <c r="K359" s="17"/>
      <c r="L359" s="14"/>
      <c r="M359" s="14"/>
      <c r="N359" s="14"/>
      <c r="O359" s="14" t="inlineStr">
        <is>
          <t xml:space="preserve">Not Required</t>
        </is>
      </c>
      <c r="P359" s="14" t="str">
        <f>IFERROR(VLOOKUP($C359,'Test Library'!$A:$P,14,FALSE),"")</f>
        <v>Yes</v>
      </c>
      <c r="Q359" s="14"/>
    </row>
    <row r="360">
      <c r="A360" s="14" t="inlineStr">
        <is>
          <t xml:space="preserve">BETARUN-0380</t>
        </is>
      </c>
      <c r="B360" s="14" t="inlineStr">
        <is>
          <t xml:space="preserve">Beta Release</t>
        </is>
      </c>
      <c r="C360" s="14" t="inlineStr">
        <is>
          <t xml:space="preserve">RR-0380</t>
        </is>
      </c>
      <c r="D360" s="14" t="str">
        <f>IFERROR(VLOOKUP($C360,'Test Library'!$A:$P,2,FALSE),"")</f>
        <v>Admin Console &amp; Support</v>
      </c>
      <c r="E360" s="14" t="str">
        <f>IFERROR(VLOOKUP($C360,'Test Library'!$A:$P,3,FALSE),"")</f>
        <v>Feature flags, issues and auditing</v>
      </c>
      <c r="F360" s="14" t="str">
        <f>IFERROR(VLOOKUP($C360,'Test Library'!$A:$P,5,FALSE),"")</f>
        <v>Unauthorised support role changes a feature flag</v>
      </c>
      <c r="G360" s="14" t="str">
        <f>IFERROR(VLOOKUP($C360,'Test Library'!$A:$P,6,FALSE),"")</f>
        <v>Critical</v>
      </c>
      <c r="H360" s="14" t="inlineStr">
        <is>
          <t xml:space="preserve">Staging</t>
        </is>
      </c>
      <c r="I360" s="14" t="inlineStr">
        <is>
          <t xml:space="preserve">Not Run</t>
        </is>
      </c>
      <c r="J360" s="14"/>
      <c r="K360" s="17"/>
      <c r="L360" s="14"/>
      <c r="M360" s="14"/>
      <c r="N360" s="14"/>
      <c r="O360" s="14" t="inlineStr">
        <is>
          <t xml:space="preserve">Not Required</t>
        </is>
      </c>
      <c r="P360" s="14" t="str">
        <f>IFERROR(VLOOKUP($C360,'Test Library'!$A:$P,14,FALSE),"")</f>
        <v>Yes</v>
      </c>
      <c r="Q360" s="14"/>
    </row>
    <row r="361">
      <c r="A361" s="14" t="inlineStr">
        <is>
          <t xml:space="preserve">BETARUN-0381</t>
        </is>
      </c>
      <c r="B361" s="14" t="inlineStr">
        <is>
          <t xml:space="preserve">Beta Release</t>
        </is>
      </c>
      <c r="C361" s="14" t="inlineStr">
        <is>
          <t xml:space="preserve">RR-0381</t>
        </is>
      </c>
      <c r="D361" s="14" t="str">
        <f>IFERROR(VLOOKUP($C361,'Test Library'!$A:$P,2,FALSE),"")</f>
        <v>Admin Console &amp; Support</v>
      </c>
      <c r="E361" s="14" t="str">
        <f>IFERROR(VLOOKUP($C361,'Test Library'!$A:$P,3,FALSE),"")</f>
        <v>Feature flags, issues and auditing</v>
      </c>
      <c r="F361" s="14" t="str">
        <f>IFERROR(VLOOKUP($C361,'Test Library'!$A:$P,5,FALSE),"")</f>
        <v>Create an issue linked to customer/error</v>
      </c>
      <c r="G361" s="14" t="str">
        <f>IFERROR(VLOOKUP($C361,'Test Library'!$A:$P,6,FALSE),"")</f>
        <v>Medium</v>
      </c>
      <c r="H361" s="14" t="inlineStr">
        <is>
          <t xml:space="preserve">Staging</t>
        </is>
      </c>
      <c r="I361" s="14" t="inlineStr">
        <is>
          <t xml:space="preserve">Not Run</t>
        </is>
      </c>
      <c r="J361" s="14"/>
      <c r="K361" s="17"/>
      <c r="L361" s="14"/>
      <c r="M361" s="14"/>
      <c r="N361" s="14"/>
      <c r="O361" s="14" t="inlineStr">
        <is>
          <t xml:space="preserve">Not Required</t>
        </is>
      </c>
      <c r="P361" s="14" t="str">
        <f>IFERROR(VLOOKUP($C361,'Test Library'!$A:$P,14,FALSE),"")</f>
        <v>No</v>
      </c>
      <c r="Q361" s="14"/>
    </row>
    <row r="362">
      <c r="A362" s="14" t="inlineStr">
        <is>
          <t xml:space="preserve">BETARUN-0382</t>
        </is>
      </c>
      <c r="B362" s="14" t="inlineStr">
        <is>
          <t xml:space="preserve">Beta Release</t>
        </is>
      </c>
      <c r="C362" s="14" t="inlineStr">
        <is>
          <t xml:space="preserve">RR-0382</t>
        </is>
      </c>
      <c r="D362" s="14" t="str">
        <f>IFERROR(VLOOKUP($C362,'Test Library'!$A:$P,2,FALSE),"")</f>
        <v>Admin Console &amp; Support</v>
      </c>
      <c r="E362" s="14" t="str">
        <f>IFERROR(VLOOKUP($C362,'Test Library'!$A:$P,3,FALSE),"")</f>
        <v>Feature flags, issues and auditing</v>
      </c>
      <c r="F362" s="14" t="str">
        <f>IFERROR(VLOOKUP($C362,'Test Library'!$A:$P,5,FALSE),"")</f>
        <v>Update issue status and owner</v>
      </c>
      <c r="G362" s="14" t="str">
        <f>IFERROR(VLOOKUP($C362,'Test Library'!$A:$P,6,FALSE),"")</f>
        <v>Medium</v>
      </c>
      <c r="H362" s="14" t="inlineStr">
        <is>
          <t xml:space="preserve">Staging</t>
        </is>
      </c>
      <c r="I362" s="14" t="inlineStr">
        <is>
          <t xml:space="preserve">Not Run</t>
        </is>
      </c>
      <c r="J362" s="14"/>
      <c r="K362" s="17"/>
      <c r="L362" s="14"/>
      <c r="M362" s="14"/>
      <c r="N362" s="14"/>
      <c r="O362" s="14" t="inlineStr">
        <is>
          <t xml:space="preserve">Not Required</t>
        </is>
      </c>
      <c r="P362" s="14" t="str">
        <f>IFERROR(VLOOKUP($C362,'Test Library'!$A:$P,14,FALSE),"")</f>
        <v>No</v>
      </c>
      <c r="Q362" s="14"/>
    </row>
    <row r="363">
      <c r="A363" s="14" t="inlineStr">
        <is>
          <t xml:space="preserve">BETARUN-0383</t>
        </is>
      </c>
      <c r="B363" s="14" t="inlineStr">
        <is>
          <t xml:space="preserve">Beta Release</t>
        </is>
      </c>
      <c r="C363" s="14" t="inlineStr">
        <is>
          <t xml:space="preserve">RR-0383</t>
        </is>
      </c>
      <c r="D363" s="14" t="str">
        <f>IFERROR(VLOOKUP($C363,'Test Library'!$A:$P,2,FALSE),"")</f>
        <v>Admin Console &amp; Support</v>
      </c>
      <c r="E363" s="14" t="str">
        <f>IFERROR(VLOOKUP($C363,'Test Library'!$A:$P,3,FALSE),"")</f>
        <v>Feature flags, issues and auditing</v>
      </c>
      <c r="F363" s="14" t="str">
        <f>IFERROR(VLOOKUP($C363,'Test Library'!$A:$P,5,FALSE),"")</f>
        <v>View global audit log</v>
      </c>
      <c r="G363" s="14" t="str">
        <f>IFERROR(VLOOKUP($C363,'Test Library'!$A:$P,6,FALSE),"")</f>
        <v>Critical</v>
      </c>
      <c r="H363" s="14" t="inlineStr">
        <is>
          <t xml:space="preserve">Staging</t>
        </is>
      </c>
      <c r="I363" s="14" t="inlineStr">
        <is>
          <t xml:space="preserve">Not Run</t>
        </is>
      </c>
      <c r="J363" s="14"/>
      <c r="K363" s="17"/>
      <c r="L363" s="14"/>
      <c r="M363" s="14"/>
      <c r="N363" s="14"/>
      <c r="O363" s="14" t="inlineStr">
        <is>
          <t xml:space="preserve">Not Required</t>
        </is>
      </c>
      <c r="P363" s="14" t="str">
        <f>IFERROR(VLOOKUP($C363,'Test Library'!$A:$P,14,FALSE),"")</f>
        <v>Yes</v>
      </c>
      <c r="Q363" s="14"/>
    </row>
    <row r="364">
      <c r="A364" s="14" t="inlineStr">
        <is>
          <t xml:space="preserve">BETARUN-0384</t>
        </is>
      </c>
      <c r="B364" s="14" t="inlineStr">
        <is>
          <t xml:space="preserve">Beta Release</t>
        </is>
      </c>
      <c r="C364" s="14" t="inlineStr">
        <is>
          <t xml:space="preserve">RR-0384</t>
        </is>
      </c>
      <c r="D364" s="14" t="str">
        <f>IFERROR(VLOOKUP($C364,'Test Library'!$A:$P,2,FALSE),"")</f>
        <v>Admin Console &amp; Support</v>
      </c>
      <c r="E364" s="14" t="str">
        <f>IFERROR(VLOOKUP($C364,'Test Library'!$A:$P,3,FALSE),"")</f>
        <v>Feature flags, issues and auditing</v>
      </c>
      <c r="F364" s="14" t="str">
        <f>IFERROR(VLOOKUP($C364,'Test Library'!$A:$P,5,FALSE),"")</f>
        <v>Export an audit subset</v>
      </c>
      <c r="G364" s="14" t="str">
        <f>IFERROR(VLOOKUP($C364,'Test Library'!$A:$P,6,FALSE),"")</f>
        <v>High</v>
      </c>
      <c r="H364" s="14" t="inlineStr">
        <is>
          <t xml:space="preserve">Staging</t>
        </is>
      </c>
      <c r="I364" s="14" t="inlineStr">
        <is>
          <t xml:space="preserve">Not Run</t>
        </is>
      </c>
      <c r="J364" s="14"/>
      <c r="K364" s="17"/>
      <c r="L364" s="14"/>
      <c r="M364" s="14"/>
      <c r="N364" s="14"/>
      <c r="O364" s="14" t="inlineStr">
        <is>
          <t xml:space="preserve">Not Required</t>
        </is>
      </c>
      <c r="P364" s="14" t="str">
        <f>IFERROR(VLOOKUP($C364,'Test Library'!$A:$P,14,FALSE),"")</f>
        <v>Yes</v>
      </c>
      <c r="Q364" s="14"/>
    </row>
    <row r="365">
      <c r="A365" s="14" t="inlineStr">
        <is>
          <t xml:space="preserve">BETARUN-0385</t>
        </is>
      </c>
      <c r="B365" s="14" t="inlineStr">
        <is>
          <t xml:space="preserve">Beta Release</t>
        </is>
      </c>
      <c r="C365" s="14" t="inlineStr">
        <is>
          <t xml:space="preserve">RR-0385</t>
        </is>
      </c>
      <c r="D365" s="14" t="str">
        <f>IFERROR(VLOOKUP($C365,'Test Library'!$A:$P,2,FALSE),"")</f>
        <v>Admin Console &amp; Support</v>
      </c>
      <c r="E365" s="14" t="str">
        <f>IFERROR(VLOOKUP($C365,'Test Library'!$A:$P,3,FALSE),"")</f>
        <v>Feature flags, issues and auditing</v>
      </c>
      <c r="F365" s="14" t="str">
        <f>IFERROR(VLOOKUP($C365,'Test Library'!$A:$P,5,FALSE),"")</f>
        <v>Admin console uses same production database</v>
      </c>
      <c r="G365" s="14" t="str">
        <f>IFERROR(VLOOKUP($C365,'Test Library'!$A:$P,6,FALSE),"")</f>
        <v>Critical</v>
      </c>
      <c r="H365" s="14" t="inlineStr">
        <is>
          <t xml:space="preserve">Staging</t>
        </is>
      </c>
      <c r="I365" s="14" t="inlineStr">
        <is>
          <t xml:space="preserve">Not Run</t>
        </is>
      </c>
      <c r="J365" s="14"/>
      <c r="K365" s="17"/>
      <c r="L365" s="14"/>
      <c r="M365" s="14"/>
      <c r="N365" s="14"/>
      <c r="O365" s="14" t="inlineStr">
        <is>
          <t xml:space="preserve">Not Required</t>
        </is>
      </c>
      <c r="P365" s="14" t="str">
        <f>IFERROR(VLOOKUP($C365,'Test Library'!$A:$P,14,FALSE),"")</f>
        <v>Yes</v>
      </c>
      <c r="Q365" s="14"/>
    </row>
    <row r="366">
      <c r="A366" s="14" t="inlineStr">
        <is>
          <t xml:space="preserve">BETARUN-0386</t>
        </is>
      </c>
      <c r="B366" s="14" t="inlineStr">
        <is>
          <t xml:space="preserve">Beta Release</t>
        </is>
      </c>
      <c r="C366" s="14" t="inlineStr">
        <is>
          <t xml:space="preserve">RR-0386</t>
        </is>
      </c>
      <c r="D366" s="14" t="str">
        <f>IFERROR(VLOOKUP($C366,'Test Library'!$A:$P,2,FALSE),"")</f>
        <v>Admin Console &amp; Support</v>
      </c>
      <c r="E366" s="14" t="str">
        <f>IFERROR(VLOOKUP($C366,'Test Library'!$A:$P,3,FALSE),"")</f>
        <v>Feature flags, issues and auditing</v>
      </c>
      <c r="F366" s="14" t="str">
        <f>IFERROR(VLOOKUP($C366,'Test Library'!$A:$P,5,FALSE),"")</f>
        <v>Admin console session expires</v>
      </c>
      <c r="G366" s="14" t="str">
        <f>IFERROR(VLOOKUP($C366,'Test Library'!$A:$P,6,FALSE),"")</f>
        <v>Critical</v>
      </c>
      <c r="H366" s="14" t="inlineStr">
        <is>
          <t xml:space="preserve">Staging</t>
        </is>
      </c>
      <c r="I366" s="14" t="inlineStr">
        <is>
          <t xml:space="preserve">Not Run</t>
        </is>
      </c>
      <c r="J366" s="14"/>
      <c r="K366" s="17"/>
      <c r="L366" s="14"/>
      <c r="M366" s="14"/>
      <c r="N366" s="14"/>
      <c r="O366" s="14" t="inlineStr">
        <is>
          <t xml:space="preserve">Not Required</t>
        </is>
      </c>
      <c r="P366" s="14" t="str">
        <f>IFERROR(VLOOKUP($C366,'Test Library'!$A:$P,14,FALSE),"")</f>
        <v>Yes</v>
      </c>
      <c r="Q366" s="14"/>
    </row>
    <row r="367">
      <c r="A367" s="14" t="inlineStr">
        <is>
          <t xml:space="preserve">BETARUN-0387</t>
        </is>
      </c>
      <c r="B367" s="14" t="inlineStr">
        <is>
          <t xml:space="preserve">Beta Release</t>
        </is>
      </c>
      <c r="C367" s="14" t="inlineStr">
        <is>
          <t xml:space="preserve">RR-0387</t>
        </is>
      </c>
      <c r="D367" s="14" t="str">
        <f>IFERROR(VLOOKUP($C367,'Test Library'!$A:$P,2,FALSE),"")</f>
        <v>Security &amp; Multi-tenancy</v>
      </c>
      <c r="E367" s="14" t="str">
        <f>IFERROR(VLOOKUP($C367,'Test Library'!$A:$P,3,FALSE),"")</f>
        <v>Tenant isolation</v>
      </c>
      <c r="F367" s="14" t="str">
        <f>IFERROR(VLOOKUP($C367,'Test Library'!$A:$P,5,FALSE),"")</f>
        <v>Org A user requests Org B organisation ID</v>
      </c>
      <c r="G367" s="14" t="str">
        <f>IFERROR(VLOOKUP($C367,'Test Library'!$A:$P,6,FALSE),"")</f>
        <v>Critical</v>
      </c>
      <c r="H367" s="14" t="inlineStr">
        <is>
          <t xml:space="preserve">Staging</t>
        </is>
      </c>
      <c r="I367" s="14" t="inlineStr">
        <is>
          <t xml:space="preserve">Not Run</t>
        </is>
      </c>
      <c r="J367" s="14"/>
      <c r="K367" s="17"/>
      <c r="L367" s="14"/>
      <c r="M367" s="14"/>
      <c r="N367" s="14"/>
      <c r="O367" s="14" t="inlineStr">
        <is>
          <t xml:space="preserve">Not Required</t>
        </is>
      </c>
      <c r="P367" s="14" t="str">
        <f>IFERROR(VLOOKUP($C367,'Test Library'!$A:$P,14,FALSE),"")</f>
        <v>Yes</v>
      </c>
      <c r="Q367" s="14"/>
    </row>
    <row r="368">
      <c r="A368" s="14" t="inlineStr">
        <is>
          <t xml:space="preserve">BETARUN-0388</t>
        </is>
      </c>
      <c r="B368" s="14" t="inlineStr">
        <is>
          <t xml:space="preserve">Beta Release</t>
        </is>
      </c>
      <c r="C368" s="14" t="inlineStr">
        <is>
          <t xml:space="preserve">RR-0388</t>
        </is>
      </c>
      <c r="D368" s="14" t="str">
        <f>IFERROR(VLOOKUP($C368,'Test Library'!$A:$P,2,FALSE),"")</f>
        <v>Security &amp; Multi-tenancy</v>
      </c>
      <c r="E368" s="14" t="str">
        <f>IFERROR(VLOOKUP($C368,'Test Library'!$A:$P,3,FALSE),"")</f>
        <v>Tenant isolation</v>
      </c>
      <c r="F368" s="14" t="str">
        <f>IFERROR(VLOOKUP($C368,'Test Library'!$A:$P,5,FALSE),"")</f>
        <v>Org A manager requests Org B location shifts</v>
      </c>
      <c r="G368" s="14" t="str">
        <f>IFERROR(VLOOKUP($C368,'Test Library'!$A:$P,6,FALSE),"")</f>
        <v>Critical</v>
      </c>
      <c r="H368" s="14" t="inlineStr">
        <is>
          <t xml:space="preserve">Staging</t>
        </is>
      </c>
      <c r="I368" s="14" t="inlineStr">
        <is>
          <t xml:space="preserve">Not Run</t>
        </is>
      </c>
      <c r="J368" s="14"/>
      <c r="K368" s="17"/>
      <c r="L368" s="14"/>
      <c r="M368" s="14"/>
      <c r="N368" s="14"/>
      <c r="O368" s="14" t="inlineStr">
        <is>
          <t xml:space="preserve">Not Required</t>
        </is>
      </c>
      <c r="P368" s="14" t="str">
        <f>IFERROR(VLOOKUP($C368,'Test Library'!$A:$P,14,FALSE),"")</f>
        <v>Yes</v>
      </c>
      <c r="Q368" s="14"/>
    </row>
    <row r="369">
      <c r="A369" s="14" t="inlineStr">
        <is>
          <t xml:space="preserve">BETARUN-0389</t>
        </is>
      </c>
      <c r="B369" s="14" t="inlineStr">
        <is>
          <t xml:space="preserve">Beta Release</t>
        </is>
      </c>
      <c r="C369" s="14" t="inlineStr">
        <is>
          <t xml:space="preserve">RR-0389</t>
        </is>
      </c>
      <c r="D369" s="14" t="str">
        <f>IFERROR(VLOOKUP($C369,'Test Library'!$A:$P,2,FALSE),"")</f>
        <v>Security &amp; Multi-tenancy</v>
      </c>
      <c r="E369" s="14" t="str">
        <f>IFERROR(VLOOKUP($C369,'Test Library'!$A:$P,3,FALSE),"")</f>
        <v>Tenant isolation</v>
      </c>
      <c r="F369" s="14" t="str">
        <f>IFERROR(VLOOKUP($C369,'Test Library'!$A:$P,5,FALSE),"")</f>
        <v>Org A user guesses Org B employee ID</v>
      </c>
      <c r="G369" s="14" t="str">
        <f>IFERROR(VLOOKUP($C369,'Test Library'!$A:$P,6,FALSE),"")</f>
        <v>Critical</v>
      </c>
      <c r="H369" s="14" t="inlineStr">
        <is>
          <t xml:space="preserve">Staging</t>
        </is>
      </c>
      <c r="I369" s="14" t="inlineStr">
        <is>
          <t xml:space="preserve">Not Run</t>
        </is>
      </c>
      <c r="J369" s="14"/>
      <c r="K369" s="17"/>
      <c r="L369" s="14"/>
      <c r="M369" s="14"/>
      <c r="N369" s="14"/>
      <c r="O369" s="14" t="inlineStr">
        <is>
          <t xml:space="preserve">Not Required</t>
        </is>
      </c>
      <c r="P369" s="14" t="str">
        <f>IFERROR(VLOOKUP($C369,'Test Library'!$A:$P,14,FALSE),"")</f>
        <v>Yes</v>
      </c>
      <c r="Q369" s="14"/>
    </row>
    <row r="370">
      <c r="A370" s="14" t="inlineStr">
        <is>
          <t xml:space="preserve">BETARUN-0390</t>
        </is>
      </c>
      <c r="B370" s="14" t="inlineStr">
        <is>
          <t xml:space="preserve">Beta Release</t>
        </is>
      </c>
      <c r="C370" s="14" t="inlineStr">
        <is>
          <t xml:space="preserve">RR-0390</t>
        </is>
      </c>
      <c r="D370" s="14" t="str">
        <f>IFERROR(VLOOKUP($C370,'Test Library'!$A:$P,2,FALSE),"")</f>
        <v>Security &amp; Multi-tenancy</v>
      </c>
      <c r="E370" s="14" t="str">
        <f>IFERROR(VLOOKUP($C370,'Test Library'!$A:$P,3,FALSE),"")</f>
        <v>Tenant isolation</v>
      </c>
      <c r="F370" s="14" t="str">
        <f>IFERROR(VLOOKUP($C370,'Test Library'!$A:$P,5,FALSE),"")</f>
        <v>Org A accesses Org B export URL</v>
      </c>
      <c r="G370" s="14" t="str">
        <f>IFERROR(VLOOKUP($C370,'Test Library'!$A:$P,6,FALSE),"")</f>
        <v>Critical</v>
      </c>
      <c r="H370" s="14" t="inlineStr">
        <is>
          <t xml:space="preserve">Staging</t>
        </is>
      </c>
      <c r="I370" s="14" t="inlineStr">
        <is>
          <t xml:space="preserve">Not Run</t>
        </is>
      </c>
      <c r="J370" s="14"/>
      <c r="K370" s="17"/>
      <c r="L370" s="14"/>
      <c r="M370" s="14"/>
      <c r="N370" s="14"/>
      <c r="O370" s="14" t="inlineStr">
        <is>
          <t xml:space="preserve">Not Required</t>
        </is>
      </c>
      <c r="P370" s="14" t="str">
        <f>IFERROR(VLOOKUP($C370,'Test Library'!$A:$P,14,FALSE),"")</f>
        <v>Yes</v>
      </c>
      <c r="Q370" s="14"/>
    </row>
    <row r="371">
      <c r="A371" s="14" t="inlineStr">
        <is>
          <t xml:space="preserve">BETARUN-0391</t>
        </is>
      </c>
      <c r="B371" s="14" t="inlineStr">
        <is>
          <t xml:space="preserve">Beta Release</t>
        </is>
      </c>
      <c r="C371" s="14" t="inlineStr">
        <is>
          <t xml:space="preserve">RR-0391</t>
        </is>
      </c>
      <c r="D371" s="14" t="str">
        <f>IFERROR(VLOOKUP($C371,'Test Library'!$A:$P,2,FALSE),"")</f>
        <v>Security &amp; Multi-tenancy</v>
      </c>
      <c r="E371" s="14" t="str">
        <f>IFERROR(VLOOKUP($C371,'Test Library'!$A:$P,3,FALSE),"")</f>
        <v>Tenant isolation</v>
      </c>
      <c r="F371" s="14" t="str">
        <f>IFERROR(VLOOKUP($C371,'Test Library'!$A:$P,5,FALSE),"")</f>
        <v>Change organisation ID in client payload</v>
      </c>
      <c r="G371" s="14" t="str">
        <f>IFERROR(VLOOKUP($C371,'Test Library'!$A:$P,6,FALSE),"")</f>
        <v>Critical</v>
      </c>
      <c r="H371" s="14" t="inlineStr">
        <is>
          <t xml:space="preserve">Staging</t>
        </is>
      </c>
      <c r="I371" s="14" t="inlineStr">
        <is>
          <t xml:space="preserve">Not Run</t>
        </is>
      </c>
      <c r="J371" s="14"/>
      <c r="K371" s="17"/>
      <c r="L371" s="14"/>
      <c r="M371" s="14"/>
      <c r="N371" s="14"/>
      <c r="O371" s="14" t="inlineStr">
        <is>
          <t xml:space="preserve">Not Required</t>
        </is>
      </c>
      <c r="P371" s="14" t="str">
        <f>IFERROR(VLOOKUP($C371,'Test Library'!$A:$P,14,FALSE),"")</f>
        <v>Yes</v>
      </c>
      <c r="Q371" s="14"/>
    </row>
    <row r="372">
      <c r="A372" s="14" t="inlineStr">
        <is>
          <t xml:space="preserve">BETARUN-0392</t>
        </is>
      </c>
      <c r="B372" s="14" t="inlineStr">
        <is>
          <t xml:space="preserve">Beta Release</t>
        </is>
      </c>
      <c r="C372" s="14" t="inlineStr">
        <is>
          <t xml:space="preserve">RR-0392</t>
        </is>
      </c>
      <c r="D372" s="14" t="str">
        <f>IFERROR(VLOOKUP($C372,'Test Library'!$A:$P,2,FALSE),"")</f>
        <v>Security &amp; Multi-tenancy</v>
      </c>
      <c r="E372" s="14" t="str">
        <f>IFERROR(VLOOKUP($C372,'Test Library'!$A:$P,3,FALSE),"")</f>
        <v>Tenant isolation</v>
      </c>
      <c r="F372" s="14" t="str">
        <f>IFERROR(VLOOKUP($C372,'Test Library'!$A:$P,5,FALSE),"")</f>
        <v>Cross-tenant search query</v>
      </c>
      <c r="G372" s="14" t="str">
        <f>IFERROR(VLOOKUP($C372,'Test Library'!$A:$P,6,FALSE),"")</f>
        <v>Critical</v>
      </c>
      <c r="H372" s="14" t="inlineStr">
        <is>
          <t xml:space="preserve">Staging</t>
        </is>
      </c>
      <c r="I372" s="14" t="inlineStr">
        <is>
          <t xml:space="preserve">Not Run</t>
        </is>
      </c>
      <c r="J372" s="14"/>
      <c r="K372" s="17"/>
      <c r="L372" s="14"/>
      <c r="M372" s="14"/>
      <c r="N372" s="14"/>
      <c r="O372" s="14" t="inlineStr">
        <is>
          <t xml:space="preserve">Not Required</t>
        </is>
      </c>
      <c r="P372" s="14" t="str">
        <f>IFERROR(VLOOKUP($C372,'Test Library'!$A:$P,14,FALSE),"")</f>
        <v>Yes</v>
      </c>
      <c r="Q372" s="14"/>
    </row>
    <row r="373">
      <c r="A373" s="14" t="inlineStr">
        <is>
          <t xml:space="preserve">BETARUN-0393</t>
        </is>
      </c>
      <c r="B373" s="14" t="inlineStr">
        <is>
          <t xml:space="preserve">Beta Release</t>
        </is>
      </c>
      <c r="C373" s="14" t="inlineStr">
        <is>
          <t xml:space="preserve">RR-0393</t>
        </is>
      </c>
      <c r="D373" s="14" t="str">
        <f>IFERROR(VLOOKUP($C373,'Test Library'!$A:$P,2,FALSE),"")</f>
        <v>Security &amp; Multi-tenancy</v>
      </c>
      <c r="E373" s="14" t="str">
        <f>IFERROR(VLOOKUP($C373,'Test Library'!$A:$P,3,FALSE),"")</f>
        <v>Tenant isolation</v>
      </c>
      <c r="F373" s="14" t="str">
        <f>IFERROR(VLOOKUP($C373,'Test Library'!$A:$P,5,FALSE),"")</f>
        <v>Shared email belongs to users in multiple organisations</v>
      </c>
      <c r="G373" s="14" t="str">
        <f>IFERROR(VLOOKUP($C373,'Test Library'!$A:$P,6,FALSE),"")</f>
        <v>Critical</v>
      </c>
      <c r="H373" s="14" t="inlineStr">
        <is>
          <t xml:space="preserve">Staging</t>
        </is>
      </c>
      <c r="I373" s="14" t="inlineStr">
        <is>
          <t xml:space="preserve">Not Run</t>
        </is>
      </c>
      <c r="J373" s="14"/>
      <c r="K373" s="17"/>
      <c r="L373" s="14"/>
      <c r="M373" s="14"/>
      <c r="N373" s="14"/>
      <c r="O373" s="14" t="inlineStr">
        <is>
          <t xml:space="preserve">Not Required</t>
        </is>
      </c>
      <c r="P373" s="14" t="str">
        <f>IFERROR(VLOOKUP($C373,'Test Library'!$A:$P,14,FALSE),"")</f>
        <v>Yes</v>
      </c>
      <c r="Q373" s="14"/>
    </row>
    <row r="374">
      <c r="A374" s="14" t="inlineStr">
        <is>
          <t xml:space="preserve">BETARUN-0394</t>
        </is>
      </c>
      <c r="B374" s="14" t="inlineStr">
        <is>
          <t xml:space="preserve">Beta Release</t>
        </is>
      </c>
      <c r="C374" s="14" t="inlineStr">
        <is>
          <t xml:space="preserve">RR-0394</t>
        </is>
      </c>
      <c r="D374" s="14" t="str">
        <f>IFERROR(VLOOKUP($C374,'Test Library'!$A:$P,2,FALSE),"")</f>
        <v>Security &amp; Multi-tenancy</v>
      </c>
      <c r="E374" s="14" t="str">
        <f>IFERROR(VLOOKUP($C374,'Test Library'!$A:$P,3,FALSE),"")</f>
        <v>Tenant isolation</v>
      </c>
      <c r="F374" s="14" t="str">
        <f>IFERROR(VLOOKUP($C374,'Test Library'!$A:$P,5,FALSE),"")</f>
        <v>Background job processes notifications for multiple tenants</v>
      </c>
      <c r="G374" s="14" t="str">
        <f>IFERROR(VLOOKUP($C374,'Test Library'!$A:$P,6,FALSE),"")</f>
        <v>Critical</v>
      </c>
      <c r="H374" s="14" t="inlineStr">
        <is>
          <t xml:space="preserve">Staging</t>
        </is>
      </c>
      <c r="I374" s="14" t="inlineStr">
        <is>
          <t xml:space="preserve">Not Run</t>
        </is>
      </c>
      <c r="J374" s="14"/>
      <c r="K374" s="17"/>
      <c r="L374" s="14"/>
      <c r="M374" s="14"/>
      <c r="N374" s="14"/>
      <c r="O374" s="14" t="inlineStr">
        <is>
          <t xml:space="preserve">Not Required</t>
        </is>
      </c>
      <c r="P374" s="14" t="str">
        <f>IFERROR(VLOOKUP($C374,'Test Library'!$A:$P,14,FALSE),"")</f>
        <v>Yes</v>
      </c>
      <c r="Q374" s="14"/>
    </row>
    <row r="375">
      <c r="A375" s="14" t="inlineStr">
        <is>
          <t xml:space="preserve">BETARUN-0395</t>
        </is>
      </c>
      <c r="B375" s="14" t="inlineStr">
        <is>
          <t xml:space="preserve">Beta Release</t>
        </is>
      </c>
      <c r="C375" s="14" t="inlineStr">
        <is>
          <t xml:space="preserve">RR-0395</t>
        </is>
      </c>
      <c r="D375" s="14" t="str">
        <f>IFERROR(VLOOKUP($C375,'Test Library'!$A:$P,2,FALSE),"")</f>
        <v>Security &amp; Multi-tenancy</v>
      </c>
      <c r="E375" s="14" t="str">
        <f>IFERROR(VLOOKUP($C375,'Test Library'!$A:$P,3,FALSE),"")</f>
        <v>Application and data security</v>
      </c>
      <c r="F375" s="14" t="str">
        <f>IFERROR(VLOOKUP($C375,'Test Library'!$A:$P,5,FALSE),"")</f>
        <v>Submit stored XSS payload in names/notes</v>
      </c>
      <c r="G375" s="14" t="str">
        <f>IFERROR(VLOOKUP($C375,'Test Library'!$A:$P,6,FALSE),"")</f>
        <v>Critical</v>
      </c>
      <c r="H375" s="14" t="inlineStr">
        <is>
          <t xml:space="preserve">Staging</t>
        </is>
      </c>
      <c r="I375" s="14" t="inlineStr">
        <is>
          <t xml:space="preserve">Not Run</t>
        </is>
      </c>
      <c r="J375" s="14"/>
      <c r="K375" s="17"/>
      <c r="L375" s="14"/>
      <c r="M375" s="14"/>
      <c r="N375" s="14"/>
      <c r="O375" s="14" t="inlineStr">
        <is>
          <t xml:space="preserve">Not Required</t>
        </is>
      </c>
      <c r="P375" s="14" t="str">
        <f>IFERROR(VLOOKUP($C375,'Test Library'!$A:$P,14,FALSE),"")</f>
        <v>Yes</v>
      </c>
      <c r="Q375" s="14"/>
    </row>
    <row r="376">
      <c r="A376" s="14" t="inlineStr">
        <is>
          <t xml:space="preserve">BETARUN-0396</t>
        </is>
      </c>
      <c r="B376" s="14" t="inlineStr">
        <is>
          <t xml:space="preserve">Beta Release</t>
        </is>
      </c>
      <c r="C376" s="14" t="inlineStr">
        <is>
          <t xml:space="preserve">RR-0396</t>
        </is>
      </c>
      <c r="D376" s="14" t="str">
        <f>IFERROR(VLOOKUP($C376,'Test Library'!$A:$P,2,FALSE),"")</f>
        <v>Security &amp; Multi-tenancy</v>
      </c>
      <c r="E376" s="14" t="str">
        <f>IFERROR(VLOOKUP($C376,'Test Library'!$A:$P,3,FALSE),"")</f>
        <v>Application and data security</v>
      </c>
      <c r="F376" s="14" t="str">
        <f>IFERROR(VLOOKUP($C376,'Test Library'!$A:$P,5,FALSE),"")</f>
        <v>Submit SQL-injection strings through search/forms</v>
      </c>
      <c r="G376" s="14" t="str">
        <f>IFERROR(VLOOKUP($C376,'Test Library'!$A:$P,6,FALSE),"")</f>
        <v>Critical</v>
      </c>
      <c r="H376" s="14" t="inlineStr">
        <is>
          <t xml:space="preserve">Staging</t>
        </is>
      </c>
      <c r="I376" s="14" t="inlineStr">
        <is>
          <t xml:space="preserve">Not Run</t>
        </is>
      </c>
      <c r="J376" s="14"/>
      <c r="K376" s="17"/>
      <c r="L376" s="14"/>
      <c r="M376" s="14"/>
      <c r="N376" s="14"/>
      <c r="O376" s="14" t="inlineStr">
        <is>
          <t xml:space="preserve">Not Required</t>
        </is>
      </c>
      <c r="P376" s="14" t="str">
        <f>IFERROR(VLOOKUP($C376,'Test Library'!$A:$P,14,FALSE),"")</f>
        <v>Yes</v>
      </c>
      <c r="Q376" s="14"/>
    </row>
    <row r="377">
      <c r="A377" s="14" t="inlineStr">
        <is>
          <t xml:space="preserve">BETARUN-0397</t>
        </is>
      </c>
      <c r="B377" s="14" t="inlineStr">
        <is>
          <t xml:space="preserve">Beta Release</t>
        </is>
      </c>
      <c r="C377" s="14" t="inlineStr">
        <is>
          <t xml:space="preserve">RR-0397</t>
        </is>
      </c>
      <c r="D377" s="14" t="str">
        <f>IFERROR(VLOOKUP($C377,'Test Library'!$A:$P,2,FALSE),"")</f>
        <v>Security &amp; Multi-tenancy</v>
      </c>
      <c r="E377" s="14" t="str">
        <f>IFERROR(VLOOKUP($C377,'Test Library'!$A:$P,3,FALSE),"")</f>
        <v>Application and data security</v>
      </c>
      <c r="F377" s="14" t="str">
        <f>IFERROR(VLOOKUP($C377,'Test Library'!$A:$P,5,FALSE),"")</f>
        <v>Perform CSRF attempt on a state-changing request</v>
      </c>
      <c r="G377" s="14" t="str">
        <f>IFERROR(VLOOKUP($C377,'Test Library'!$A:$P,6,FALSE),"")</f>
        <v>Critical</v>
      </c>
      <c r="H377" s="14" t="inlineStr">
        <is>
          <t xml:space="preserve">Staging</t>
        </is>
      </c>
      <c r="I377" s="14" t="inlineStr">
        <is>
          <t xml:space="preserve">Not Run</t>
        </is>
      </c>
      <c r="J377" s="14"/>
      <c r="K377" s="17"/>
      <c r="L377" s="14"/>
      <c r="M377" s="14"/>
      <c r="N377" s="14"/>
      <c r="O377" s="14" t="inlineStr">
        <is>
          <t xml:space="preserve">Not Required</t>
        </is>
      </c>
      <c r="P377" s="14" t="str">
        <f>IFERROR(VLOOKUP($C377,'Test Library'!$A:$P,14,FALSE),"")</f>
        <v>Yes</v>
      </c>
      <c r="Q377" s="14"/>
    </row>
    <row r="378">
      <c r="A378" s="14" t="inlineStr">
        <is>
          <t xml:space="preserve">BETARUN-0398</t>
        </is>
      </c>
      <c r="B378" s="14" t="inlineStr">
        <is>
          <t xml:space="preserve">Beta Release</t>
        </is>
      </c>
      <c r="C378" s="14" t="inlineStr">
        <is>
          <t xml:space="preserve">RR-0398</t>
        </is>
      </c>
      <c r="D378" s="14" t="str">
        <f>IFERROR(VLOOKUP($C378,'Test Library'!$A:$P,2,FALSE),"")</f>
        <v>Security &amp; Multi-tenancy</v>
      </c>
      <c r="E378" s="14" t="str">
        <f>IFERROR(VLOOKUP($C378,'Test Library'!$A:$P,3,FALSE),"")</f>
        <v>Application and data security</v>
      </c>
      <c r="F378" s="14" t="str">
        <f>IFERROR(VLOOKUP($C378,'Test Library'!$A:$P,5,FALSE),"")</f>
        <v>Use a stolen/expired session token</v>
      </c>
      <c r="G378" s="14" t="str">
        <f>IFERROR(VLOOKUP($C378,'Test Library'!$A:$P,6,FALSE),"")</f>
        <v>Critical</v>
      </c>
      <c r="H378" s="14" t="inlineStr">
        <is>
          <t xml:space="preserve">Staging</t>
        </is>
      </c>
      <c r="I378" s="14" t="inlineStr">
        <is>
          <t xml:space="preserve">Not Run</t>
        </is>
      </c>
      <c r="J378" s="14"/>
      <c r="K378" s="17"/>
      <c r="L378" s="14"/>
      <c r="M378" s="14"/>
      <c r="N378" s="14"/>
      <c r="O378" s="14" t="inlineStr">
        <is>
          <t xml:space="preserve">Not Required</t>
        </is>
      </c>
      <c r="P378" s="14" t="str">
        <f>IFERROR(VLOOKUP($C378,'Test Library'!$A:$P,14,FALSE),"")</f>
        <v>Yes</v>
      </c>
      <c r="Q378" s="14"/>
    </row>
    <row r="379">
      <c r="A379" s="14" t="inlineStr">
        <is>
          <t xml:space="preserve">BETARUN-0399</t>
        </is>
      </c>
      <c r="B379" s="14" t="inlineStr">
        <is>
          <t xml:space="preserve">Beta Release</t>
        </is>
      </c>
      <c r="C379" s="14" t="inlineStr">
        <is>
          <t xml:space="preserve">RR-0399</t>
        </is>
      </c>
      <c r="D379" s="14" t="str">
        <f>IFERROR(VLOOKUP($C379,'Test Library'!$A:$P,2,FALSE),"")</f>
        <v>Security &amp; Multi-tenancy</v>
      </c>
      <c r="E379" s="14" t="str">
        <f>IFERROR(VLOOKUP($C379,'Test Library'!$A:$P,3,FALSE),"")</f>
        <v>Application and data security</v>
      </c>
      <c r="F379" s="14" t="str">
        <f>IFERROR(VLOOKUP($C379,'Test Library'!$A:$P,5,FALSE),"")</f>
        <v>Attempt brute-force sign-in</v>
      </c>
      <c r="G379" s="14" t="str">
        <f>IFERROR(VLOOKUP($C379,'Test Library'!$A:$P,6,FALSE),"")</f>
        <v>Critical</v>
      </c>
      <c r="H379" s="14" t="inlineStr">
        <is>
          <t xml:space="preserve">Staging</t>
        </is>
      </c>
      <c r="I379" s="14" t="inlineStr">
        <is>
          <t xml:space="preserve">Not Run</t>
        </is>
      </c>
      <c r="J379" s="14"/>
      <c r="K379" s="17"/>
      <c r="L379" s="14"/>
      <c r="M379" s="14"/>
      <c r="N379" s="14"/>
      <c r="O379" s="14" t="inlineStr">
        <is>
          <t xml:space="preserve">Not Required</t>
        </is>
      </c>
      <c r="P379" s="14" t="str">
        <f>IFERROR(VLOOKUP($C379,'Test Library'!$A:$P,14,FALSE),"")</f>
        <v>Yes</v>
      </c>
      <c r="Q379" s="14"/>
    </row>
    <row r="380">
      <c r="A380" s="14" t="inlineStr">
        <is>
          <t xml:space="preserve">BETARUN-0400</t>
        </is>
      </c>
      <c r="B380" s="14" t="inlineStr">
        <is>
          <t xml:space="preserve">Beta Release</t>
        </is>
      </c>
      <c r="C380" s="14" t="inlineStr">
        <is>
          <t xml:space="preserve">RR-0400</t>
        </is>
      </c>
      <c r="D380" s="14" t="str">
        <f>IFERROR(VLOOKUP($C380,'Test Library'!$A:$P,2,FALSE),"")</f>
        <v>Security &amp; Multi-tenancy</v>
      </c>
      <c r="E380" s="14" t="str">
        <f>IFERROR(VLOOKUP($C380,'Test Library'!$A:$P,3,FALSE),"")</f>
        <v>Application and data security</v>
      </c>
      <c r="F380" s="14" t="str">
        <f>IFERROR(VLOOKUP($C380,'Test Library'!$A:$P,5,FALSE),"")</f>
        <v>Upload/import a malicious CSV formula</v>
      </c>
      <c r="G380" s="14" t="str">
        <f>IFERROR(VLOOKUP($C380,'Test Library'!$A:$P,6,FALSE),"")</f>
        <v>Critical</v>
      </c>
      <c r="H380" s="14" t="inlineStr">
        <is>
          <t xml:space="preserve">Staging</t>
        </is>
      </c>
      <c r="I380" s="14" t="inlineStr">
        <is>
          <t xml:space="preserve">Not Run</t>
        </is>
      </c>
      <c r="J380" s="14"/>
      <c r="K380" s="17"/>
      <c r="L380" s="14"/>
      <c r="M380" s="14"/>
      <c r="N380" s="14"/>
      <c r="O380" s="14" t="inlineStr">
        <is>
          <t xml:space="preserve">Not Required</t>
        </is>
      </c>
      <c r="P380" s="14" t="str">
        <f>IFERROR(VLOOKUP($C380,'Test Library'!$A:$P,14,FALSE),"")</f>
        <v>Yes</v>
      </c>
      <c r="Q380" s="14"/>
    </row>
    <row r="381">
      <c r="A381" s="14" t="inlineStr">
        <is>
          <t xml:space="preserve">BETARUN-0401</t>
        </is>
      </c>
      <c r="B381" s="14" t="inlineStr">
        <is>
          <t xml:space="preserve">Beta Release</t>
        </is>
      </c>
      <c r="C381" s="14" t="inlineStr">
        <is>
          <t xml:space="preserve">RR-0401</t>
        </is>
      </c>
      <c r="D381" s="14" t="str">
        <f>IFERROR(VLOOKUP($C381,'Test Library'!$A:$P,2,FALSE),"")</f>
        <v>Security &amp; Multi-tenancy</v>
      </c>
      <c r="E381" s="14" t="str">
        <f>IFERROR(VLOOKUP($C381,'Test Library'!$A:$P,3,FALSE),"")</f>
        <v>Application and data security</v>
      </c>
      <c r="F381" s="14" t="str">
        <f>IFERROR(VLOOKUP($C381,'Test Library'!$A:$P,5,FALSE),"")</f>
        <v>Read secrets from client bundle or source maps</v>
      </c>
      <c r="G381" s="14" t="str">
        <f>IFERROR(VLOOKUP($C381,'Test Library'!$A:$P,6,FALSE),"")</f>
        <v>Critical</v>
      </c>
      <c r="H381" s="14" t="inlineStr">
        <is>
          <t xml:space="preserve">Staging</t>
        </is>
      </c>
      <c r="I381" s="14" t="inlineStr">
        <is>
          <t xml:space="preserve">Not Run</t>
        </is>
      </c>
      <c r="J381" s="14"/>
      <c r="K381" s="17"/>
      <c r="L381" s="14"/>
      <c r="M381" s="14"/>
      <c r="N381" s="14"/>
      <c r="O381" s="14" t="inlineStr">
        <is>
          <t xml:space="preserve">Not Required</t>
        </is>
      </c>
      <c r="P381" s="14" t="str">
        <f>IFERROR(VLOOKUP($C381,'Test Library'!$A:$P,14,FALSE),"")</f>
        <v>Yes</v>
      </c>
      <c r="Q381" s="14"/>
    </row>
    <row r="382">
      <c r="A382" s="14" t="inlineStr">
        <is>
          <t xml:space="preserve">BETARUN-0402</t>
        </is>
      </c>
      <c r="B382" s="14" t="inlineStr">
        <is>
          <t xml:space="preserve">Beta Release</t>
        </is>
      </c>
      <c r="C382" s="14" t="inlineStr">
        <is>
          <t xml:space="preserve">RR-0402</t>
        </is>
      </c>
      <c r="D382" s="14" t="str">
        <f>IFERROR(VLOOKUP($C382,'Test Library'!$A:$P,2,FALSE),"")</f>
        <v>Security &amp; Multi-tenancy</v>
      </c>
      <c r="E382" s="14" t="str">
        <f>IFERROR(VLOOKUP($C382,'Test Library'!$A:$P,3,FALSE),"")</f>
        <v>Application and data security</v>
      </c>
      <c r="F382" s="14" t="str">
        <f>IFERROR(VLOOKUP($C382,'Test Library'!$A:$P,5,FALSE),"")</f>
        <v>Check security headers</v>
      </c>
      <c r="G382" s="14" t="str">
        <f>IFERROR(VLOOKUP($C382,'Test Library'!$A:$P,6,FALSE),"")</f>
        <v>High</v>
      </c>
      <c r="H382" s="14" t="inlineStr">
        <is>
          <t xml:space="preserve">Staging</t>
        </is>
      </c>
      <c r="I382" s="14" t="inlineStr">
        <is>
          <t xml:space="preserve">Not Run</t>
        </is>
      </c>
      <c r="J382" s="14"/>
      <c r="K382" s="17"/>
      <c r="L382" s="14"/>
      <c r="M382" s="14"/>
      <c r="N382" s="14"/>
      <c r="O382" s="14" t="inlineStr">
        <is>
          <t xml:space="preserve">Not Required</t>
        </is>
      </c>
      <c r="P382" s="14" t="str">
        <f>IFERROR(VLOOKUP($C382,'Test Library'!$A:$P,14,FALSE),"")</f>
        <v>Yes</v>
      </c>
      <c r="Q382" s="14"/>
    </row>
    <row r="383">
      <c r="A383" s="14" t="inlineStr">
        <is>
          <t xml:space="preserve">BETARUN-0403</t>
        </is>
      </c>
      <c r="B383" s="14" t="inlineStr">
        <is>
          <t xml:space="preserve">Beta Release</t>
        </is>
      </c>
      <c r="C383" s="14" t="inlineStr">
        <is>
          <t xml:space="preserve">RR-0403</t>
        </is>
      </c>
      <c r="D383" s="14" t="str">
        <f>IFERROR(VLOOKUP($C383,'Test Library'!$A:$P,2,FALSE),"")</f>
        <v>Security &amp; Multi-tenancy</v>
      </c>
      <c r="E383" s="14" t="str">
        <f>IFERROR(VLOOKUP($C383,'Test Library'!$A:$P,3,FALSE),"")</f>
        <v>Application and data security</v>
      </c>
      <c r="F383" s="14" t="str">
        <f>IFERROR(VLOOKUP($C383,'Test Library'!$A:$P,5,FALSE),"")</f>
        <v>Attempt clickjacking</v>
      </c>
      <c r="G383" s="14" t="str">
        <f>IFERROR(VLOOKUP($C383,'Test Library'!$A:$P,6,FALSE),"")</f>
        <v>High</v>
      </c>
      <c r="H383" s="14" t="inlineStr">
        <is>
          <t xml:space="preserve">Staging</t>
        </is>
      </c>
      <c r="I383" s="14" t="inlineStr">
        <is>
          <t xml:space="preserve">Not Run</t>
        </is>
      </c>
      <c r="J383" s="14"/>
      <c r="K383" s="17"/>
      <c r="L383" s="14"/>
      <c r="M383" s="14"/>
      <c r="N383" s="14"/>
      <c r="O383" s="14" t="inlineStr">
        <is>
          <t xml:space="preserve">Not Required</t>
        </is>
      </c>
      <c r="P383" s="14" t="str">
        <f>IFERROR(VLOOKUP($C383,'Test Library'!$A:$P,14,FALSE),"")</f>
        <v>Yes</v>
      </c>
      <c r="Q383" s="14"/>
    </row>
    <row r="384">
      <c r="A384" s="14" t="inlineStr">
        <is>
          <t xml:space="preserve">BETARUN-0404</t>
        </is>
      </c>
      <c r="B384" s="14" t="inlineStr">
        <is>
          <t xml:space="preserve">Beta Release</t>
        </is>
      </c>
      <c r="C384" s="14" t="inlineStr">
        <is>
          <t xml:space="preserve">RR-0404</t>
        </is>
      </c>
      <c r="D384" s="14" t="str">
        <f>IFERROR(VLOOKUP($C384,'Test Library'!$A:$P,2,FALSE),"")</f>
        <v>Security &amp; Multi-tenancy</v>
      </c>
      <c r="E384" s="14" t="str">
        <f>IFERROR(VLOOKUP($C384,'Test Library'!$A:$P,3,FALSE),"")</f>
        <v>Application and data security</v>
      </c>
      <c r="F384" s="14" t="str">
        <f>IFERROR(VLOOKUP($C384,'Test Library'!$A:$P,5,FALSE),"")</f>
        <v>Access object storage with a guessed path</v>
      </c>
      <c r="G384" s="14" t="str">
        <f>IFERROR(VLOOKUP($C384,'Test Library'!$A:$P,6,FALSE),"")</f>
        <v>Critical</v>
      </c>
      <c r="H384" s="14" t="inlineStr">
        <is>
          <t xml:space="preserve">Staging</t>
        </is>
      </c>
      <c r="I384" s="14" t="inlineStr">
        <is>
          <t xml:space="preserve">Not Run</t>
        </is>
      </c>
      <c r="J384" s="14"/>
      <c r="K384" s="17"/>
      <c r="L384" s="14"/>
      <c r="M384" s="14"/>
      <c r="N384" s="14"/>
      <c r="O384" s="14" t="inlineStr">
        <is>
          <t xml:space="preserve">Not Required</t>
        </is>
      </c>
      <c r="P384" s="14" t="str">
        <f>IFERROR(VLOOKUP($C384,'Test Library'!$A:$P,14,FALSE),"")</f>
        <v>Yes</v>
      </c>
      <c r="Q384" s="14"/>
    </row>
    <row r="385">
      <c r="A385" s="14" t="inlineStr">
        <is>
          <t xml:space="preserve">BETARUN-0405</t>
        </is>
      </c>
      <c r="B385" s="14" t="inlineStr">
        <is>
          <t xml:space="preserve">Beta Release</t>
        </is>
      </c>
      <c r="C385" s="14" t="inlineStr">
        <is>
          <t xml:space="preserve">RR-0405</t>
        </is>
      </c>
      <c r="D385" s="14" t="str">
        <f>IFERROR(VLOOKUP($C385,'Test Library'!$A:$P,2,FALSE),"")</f>
        <v>Security &amp; Multi-tenancy</v>
      </c>
      <c r="E385" s="14" t="str">
        <f>IFERROR(VLOOKUP($C385,'Test Library'!$A:$P,3,FALSE),"")</f>
        <v>Application and data security</v>
      </c>
      <c r="F385" s="14" t="str">
        <f>IFERROR(VLOOKUP($C385,'Test Library'!$A:$P,5,FALSE),"")</f>
        <v>Sensitive fields appear in logs</v>
      </c>
      <c r="G385" s="14" t="str">
        <f>IFERROR(VLOOKUP($C385,'Test Library'!$A:$P,6,FALSE),"")</f>
        <v>Critical</v>
      </c>
      <c r="H385" s="14" t="inlineStr">
        <is>
          <t xml:space="preserve">Staging</t>
        </is>
      </c>
      <c r="I385" s="14" t="inlineStr">
        <is>
          <t xml:space="preserve">Not Run</t>
        </is>
      </c>
      <c r="J385" s="14"/>
      <c r="K385" s="17"/>
      <c r="L385" s="14"/>
      <c r="M385" s="14"/>
      <c r="N385" s="14"/>
      <c r="O385" s="14" t="inlineStr">
        <is>
          <t xml:space="preserve">Not Required</t>
        </is>
      </c>
      <c r="P385" s="14" t="str">
        <f>IFERROR(VLOOKUP($C385,'Test Library'!$A:$P,14,FALSE),"")</f>
        <v>Yes</v>
      </c>
      <c r="Q385" s="14"/>
    </row>
    <row r="386">
      <c r="A386" s="14" t="inlineStr">
        <is>
          <t xml:space="preserve">BETARUN-0406</t>
        </is>
      </c>
      <c r="B386" s="14" t="inlineStr">
        <is>
          <t xml:space="preserve">Beta Release</t>
        </is>
      </c>
      <c r="C386" s="14" t="inlineStr">
        <is>
          <t xml:space="preserve">RR-0406</t>
        </is>
      </c>
      <c r="D386" s="14" t="str">
        <f>IFERROR(VLOOKUP($C386,'Test Library'!$A:$P,2,FALSE),"")</f>
        <v>Security &amp; Multi-tenancy</v>
      </c>
      <c r="E386" s="14" t="str">
        <f>IFERROR(VLOOKUP($C386,'Test Library'!$A:$P,3,FALSE),"")</f>
        <v>Application and data security</v>
      </c>
      <c r="F386" s="14" t="str">
        <f>IFERROR(VLOOKUP($C386,'Test Library'!$A:$P,5,FALSE),"")</f>
        <v>Delete/update request bypasses UI confirmation</v>
      </c>
      <c r="G386" s="14" t="str">
        <f>IFERROR(VLOOKUP($C386,'Test Library'!$A:$P,6,FALSE),"")</f>
        <v>Critical</v>
      </c>
      <c r="H386" s="14" t="inlineStr">
        <is>
          <t xml:space="preserve">Staging</t>
        </is>
      </c>
      <c r="I386" s="14" t="inlineStr">
        <is>
          <t xml:space="preserve">Not Run</t>
        </is>
      </c>
      <c r="J386" s="14"/>
      <c r="K386" s="17"/>
      <c r="L386" s="14"/>
      <c r="M386" s="14"/>
      <c r="N386" s="14"/>
      <c r="O386" s="14" t="inlineStr">
        <is>
          <t xml:space="preserve">Not Required</t>
        </is>
      </c>
      <c r="P386" s="14" t="str">
        <f>IFERROR(VLOOKUP($C386,'Test Library'!$A:$P,14,FALSE),"")</f>
        <v>Yes</v>
      </c>
      <c r="Q386" s="14"/>
    </row>
    <row r="387">
      <c r="A387" s="14" t="inlineStr">
        <is>
          <t xml:space="preserve">BETARUN-0407</t>
        </is>
      </c>
      <c r="B387" s="14" t="inlineStr">
        <is>
          <t xml:space="preserve">Beta Release</t>
        </is>
      </c>
      <c r="C387" s="14" t="inlineStr">
        <is>
          <t xml:space="preserve">RR-0407</t>
        </is>
      </c>
      <c r="D387" s="14" t="str">
        <f>IFERROR(VLOOKUP($C387,'Test Library'!$A:$P,2,FALSE),"")</f>
        <v>Security &amp; Multi-tenancy</v>
      </c>
      <c r="E387" s="14" t="str">
        <f>IFERROR(VLOOKUP($C387,'Test Library'!$A:$P,3,FALSE),"")</f>
        <v>Application and data security</v>
      </c>
      <c r="F387" s="14" t="str">
        <f>IFERROR(VLOOKUP($C387,'Test Library'!$A:$P,5,FALSE),"")</f>
        <v>CORS request originates from an untrusted domain</v>
      </c>
      <c r="G387" s="14" t="str">
        <f>IFERROR(VLOOKUP($C387,'Test Library'!$A:$P,6,FALSE),"")</f>
        <v>Critical</v>
      </c>
      <c r="H387" s="14" t="inlineStr">
        <is>
          <t xml:space="preserve">Staging</t>
        </is>
      </c>
      <c r="I387" s="14" t="inlineStr">
        <is>
          <t xml:space="preserve">Not Run</t>
        </is>
      </c>
      <c r="J387" s="14"/>
      <c r="K387" s="17"/>
      <c r="L387" s="14"/>
      <c r="M387" s="14"/>
      <c r="N387" s="14"/>
      <c r="O387" s="14" t="inlineStr">
        <is>
          <t xml:space="preserve">Not Required</t>
        </is>
      </c>
      <c r="P387" s="14" t="str">
        <f>IFERROR(VLOOKUP($C387,'Test Library'!$A:$P,14,FALSE),"")</f>
        <v>Yes</v>
      </c>
      <c r="Q387" s="14"/>
    </row>
    <row r="388">
      <c r="A388" s="14" t="inlineStr">
        <is>
          <t xml:space="preserve">BETARUN-0408</t>
        </is>
      </c>
      <c r="B388" s="14" t="inlineStr">
        <is>
          <t xml:space="preserve">Beta Release</t>
        </is>
      </c>
      <c r="C388" s="14" t="inlineStr">
        <is>
          <t xml:space="preserve">RR-0408</t>
        </is>
      </c>
      <c r="D388" s="14" t="str">
        <f>IFERROR(VLOOKUP($C388,'Test Library'!$A:$P,2,FALSE),"")</f>
        <v>Security &amp; Multi-tenancy</v>
      </c>
      <c r="E388" s="14" t="str">
        <f>IFERROR(VLOOKUP($C388,'Test Library'!$A:$P,3,FALSE),"")</f>
        <v>Application and data security</v>
      </c>
      <c r="F388" s="14" t="str">
        <f>IFERROR(VLOOKUP($C388,'Test Library'!$A:$P,5,FALSE),"")</f>
        <v>Clock endpoint receives a high request rate</v>
      </c>
      <c r="G388" s="14" t="str">
        <f>IFERROR(VLOOKUP($C388,'Test Library'!$A:$P,6,FALSE),"")</f>
        <v>High</v>
      </c>
      <c r="H388" s="14" t="inlineStr">
        <is>
          <t xml:space="preserve">Staging</t>
        </is>
      </c>
      <c r="I388" s="14" t="inlineStr">
        <is>
          <t xml:space="preserve">Not Run</t>
        </is>
      </c>
      <c r="J388" s="14"/>
      <c r="K388" s="17"/>
      <c r="L388" s="14"/>
      <c r="M388" s="14"/>
      <c r="N388" s="14"/>
      <c r="O388" s="14" t="inlineStr">
        <is>
          <t xml:space="preserve">Not Required</t>
        </is>
      </c>
      <c r="P388" s="14" t="str">
        <f>IFERROR(VLOOKUP($C388,'Test Library'!$A:$P,14,FALSE),"")</f>
        <v>Yes</v>
      </c>
      <c r="Q388" s="14"/>
    </row>
    <row r="389">
      <c r="A389" s="14" t="inlineStr">
        <is>
          <t xml:space="preserve">BETARUN-0409</t>
        </is>
      </c>
      <c r="B389" s="14" t="inlineStr">
        <is>
          <t xml:space="preserve">Beta Release</t>
        </is>
      </c>
      <c r="C389" s="14" t="inlineStr">
        <is>
          <t xml:space="preserve">RR-0409</t>
        </is>
      </c>
      <c r="D389" s="14" t="str">
        <f>IFERROR(VLOOKUP($C389,'Test Library'!$A:$P,2,FALSE),"")</f>
        <v>Security &amp; Multi-tenancy</v>
      </c>
      <c r="E389" s="14" t="str">
        <f>IFERROR(VLOOKUP($C389,'Test Library'!$A:$P,3,FALSE),"")</f>
        <v>Application and data security</v>
      </c>
      <c r="F389" s="14" t="str">
        <f>IFERROR(VLOOKUP($C389,'Test Library'!$A:$P,5,FALSE),"")</f>
        <v>Dependency vulnerability scan</v>
      </c>
      <c r="G389" s="14" t="str">
        <f>IFERROR(VLOOKUP($C389,'Test Library'!$A:$P,6,FALSE),"")</f>
        <v>Critical</v>
      </c>
      <c r="H389" s="14" t="inlineStr">
        <is>
          <t xml:space="preserve">Staging</t>
        </is>
      </c>
      <c r="I389" s="14" t="inlineStr">
        <is>
          <t xml:space="preserve">Not Run</t>
        </is>
      </c>
      <c r="J389" s="14"/>
      <c r="K389" s="17"/>
      <c r="L389" s="14"/>
      <c r="M389" s="14"/>
      <c r="N389" s="14"/>
      <c r="O389" s="14" t="inlineStr">
        <is>
          <t xml:space="preserve">Not Required</t>
        </is>
      </c>
      <c r="P389" s="14" t="str">
        <f>IFERROR(VLOOKUP($C389,'Test Library'!$A:$P,14,FALSE),"")</f>
        <v>Yes</v>
      </c>
      <c r="Q389" s="14"/>
    </row>
    <row r="390">
      <c r="A390" s="14" t="inlineStr">
        <is>
          <t xml:space="preserve">BETARUN-0410</t>
        </is>
      </c>
      <c r="B390" s="14" t="inlineStr">
        <is>
          <t xml:space="preserve">Beta Release</t>
        </is>
      </c>
      <c r="C390" s="14" t="inlineStr">
        <is>
          <t xml:space="preserve">RR-0410</t>
        </is>
      </c>
      <c r="D390" s="14" t="str">
        <f>IFERROR(VLOOKUP($C390,'Test Library'!$A:$P,2,FALSE),"")</f>
        <v>Security &amp; Multi-tenancy</v>
      </c>
      <c r="E390" s="14" t="str">
        <f>IFERROR(VLOOKUP($C390,'Test Library'!$A:$P,3,FALSE),"")</f>
        <v>Application and data security</v>
      </c>
      <c r="F390" s="14" t="str">
        <f>IFERROR(VLOOKUP($C390,'Test Library'!$A:$P,5,FALSE),"")</f>
        <v>Data in transit and at rest</v>
      </c>
      <c r="G390" s="14" t="str">
        <f>IFERROR(VLOOKUP($C390,'Test Library'!$A:$P,6,FALSE),"")</f>
        <v>Critical</v>
      </c>
      <c r="H390" s="14" t="inlineStr">
        <is>
          <t xml:space="preserve">Staging</t>
        </is>
      </c>
      <c r="I390" s="14" t="inlineStr">
        <is>
          <t xml:space="preserve">Not Run</t>
        </is>
      </c>
      <c r="J390" s="14"/>
      <c r="K390" s="17"/>
      <c r="L390" s="14"/>
      <c r="M390" s="14"/>
      <c r="N390" s="14"/>
      <c r="O390" s="14" t="inlineStr">
        <is>
          <t xml:space="preserve">Not Required</t>
        </is>
      </c>
      <c r="P390" s="14" t="str">
        <f>IFERROR(VLOOKUP($C390,'Test Library'!$A:$P,14,FALSE),"")</f>
        <v>Yes</v>
      </c>
      <c r="Q390" s="14"/>
    </row>
    <row r="391">
      <c r="A391" s="14" t="inlineStr">
        <is>
          <t xml:space="preserve">BETARUN-0411</t>
        </is>
      </c>
      <c r="B391" s="14" t="inlineStr">
        <is>
          <t xml:space="preserve">Beta Release</t>
        </is>
      </c>
      <c r="C391" s="14" t="inlineStr">
        <is>
          <t xml:space="preserve">RR-0411</t>
        </is>
      </c>
      <c r="D391" s="14" t="str">
        <f>IFERROR(VLOOKUP($C391,'Test Library'!$A:$P,2,FALSE),"")</f>
        <v>Accessibility &amp; Usability</v>
      </c>
      <c r="E391" s="14" t="str">
        <f>IFERROR(VLOOKUP($C391,'Test Library'!$A:$P,3,FALSE),"")</f>
        <v>Keyboard, screen reader and visual access</v>
      </c>
      <c r="F391" s="14" t="str">
        <f>IFERROR(VLOOKUP($C391,'Test Library'!$A:$P,5,FALSE),"")</f>
        <v>Navigate core app using keyboard only</v>
      </c>
      <c r="G391" s="14" t="str">
        <f>IFERROR(VLOOKUP($C391,'Test Library'!$A:$P,6,FALSE),"")</f>
        <v>Critical</v>
      </c>
      <c r="H391" s="14" t="inlineStr">
        <is>
          <t xml:space="preserve">Staging</t>
        </is>
      </c>
      <c r="I391" s="14" t="inlineStr">
        <is>
          <t xml:space="preserve">Not Run</t>
        </is>
      </c>
      <c r="J391" s="14"/>
      <c r="K391" s="17"/>
      <c r="L391" s="14"/>
      <c r="M391" s="14"/>
      <c r="N391" s="14"/>
      <c r="O391" s="14" t="inlineStr">
        <is>
          <t xml:space="preserve">Not Required</t>
        </is>
      </c>
      <c r="P391" s="14" t="str">
        <f>IFERROR(VLOOKUP($C391,'Test Library'!$A:$P,14,FALSE),"")</f>
        <v>Yes</v>
      </c>
      <c r="Q391" s="14"/>
    </row>
    <row r="392">
      <c r="A392" s="14" t="inlineStr">
        <is>
          <t xml:space="preserve">BETARUN-0412</t>
        </is>
      </c>
      <c r="B392" s="14" t="inlineStr">
        <is>
          <t xml:space="preserve">Beta Release</t>
        </is>
      </c>
      <c r="C392" s="14" t="inlineStr">
        <is>
          <t xml:space="preserve">RR-0412</t>
        </is>
      </c>
      <c r="D392" s="14" t="str">
        <f>IFERROR(VLOOKUP($C392,'Test Library'!$A:$P,2,FALSE),"")</f>
        <v>Accessibility &amp; Usability</v>
      </c>
      <c r="E392" s="14" t="str">
        <f>IFERROR(VLOOKUP($C392,'Test Library'!$A:$P,3,FALSE),"")</f>
        <v>Keyboard, screen reader and visual access</v>
      </c>
      <c r="F392" s="14" t="str">
        <f>IFERROR(VLOOKUP($C392,'Test Library'!$A:$P,5,FALSE),"")</f>
        <v>Operate mobile/desktop navigation and dialogs by keyboard</v>
      </c>
      <c r="G392" s="14" t="str">
        <f>IFERROR(VLOOKUP($C392,'Test Library'!$A:$P,6,FALSE),"")</f>
        <v>High</v>
      </c>
      <c r="H392" s="14" t="inlineStr">
        <is>
          <t xml:space="preserve">Staging</t>
        </is>
      </c>
      <c r="I392" s="14" t="inlineStr">
        <is>
          <t xml:space="preserve">Not Run</t>
        </is>
      </c>
      <c r="J392" s="14"/>
      <c r="K392" s="17"/>
      <c r="L392" s="14"/>
      <c r="M392" s="14"/>
      <c r="N392" s="14"/>
      <c r="O392" s="14" t="inlineStr">
        <is>
          <t xml:space="preserve">Not Required</t>
        </is>
      </c>
      <c r="P392" s="14" t="str">
        <f>IFERROR(VLOOKUP($C392,'Test Library'!$A:$P,14,FALSE),"")</f>
        <v>Yes</v>
      </c>
      <c r="Q392" s="14"/>
    </row>
    <row r="393">
      <c r="A393" s="14" t="inlineStr">
        <is>
          <t xml:space="preserve">BETARUN-0413</t>
        </is>
      </c>
      <c r="B393" s="14" t="inlineStr">
        <is>
          <t xml:space="preserve">Beta Release</t>
        </is>
      </c>
      <c r="C393" s="14" t="inlineStr">
        <is>
          <t xml:space="preserve">RR-0413</t>
        </is>
      </c>
      <c r="D393" s="14" t="str">
        <f>IFERROR(VLOOKUP($C393,'Test Library'!$A:$P,2,FALSE),"")</f>
        <v>Accessibility &amp; Usability</v>
      </c>
      <c r="E393" s="14" t="str">
        <f>IFERROR(VLOOKUP($C393,'Test Library'!$A:$P,3,FALSE),"")</f>
        <v>Keyboard, screen reader and visual access</v>
      </c>
      <c r="F393" s="14" t="str">
        <f>IFERROR(VLOOKUP($C393,'Test Library'!$A:$P,5,FALSE),"")</f>
        <v>Use a screen reader on sign-in and onboarding</v>
      </c>
      <c r="G393" s="14" t="str">
        <f>IFERROR(VLOOKUP($C393,'Test Library'!$A:$P,6,FALSE),"")</f>
        <v>High</v>
      </c>
      <c r="H393" s="14" t="inlineStr">
        <is>
          <t xml:space="preserve">Staging</t>
        </is>
      </c>
      <c r="I393" s="14" t="inlineStr">
        <is>
          <t xml:space="preserve">Not Run</t>
        </is>
      </c>
      <c r="J393" s="14"/>
      <c r="K393" s="17"/>
      <c r="L393" s="14"/>
      <c r="M393" s="14"/>
      <c r="N393" s="14"/>
      <c r="O393" s="14" t="inlineStr">
        <is>
          <t xml:space="preserve">Not Required</t>
        </is>
      </c>
      <c r="P393" s="14" t="str">
        <f>IFERROR(VLOOKUP($C393,'Test Library'!$A:$P,14,FALSE),"")</f>
        <v>Yes</v>
      </c>
      <c r="Q393" s="14"/>
    </row>
    <row r="394">
      <c r="A394" s="14" t="inlineStr">
        <is>
          <t xml:space="preserve">BETARUN-0414</t>
        </is>
      </c>
      <c r="B394" s="14" t="inlineStr">
        <is>
          <t xml:space="preserve">Beta Release</t>
        </is>
      </c>
      <c r="C394" s="14" t="inlineStr">
        <is>
          <t xml:space="preserve">RR-0414</t>
        </is>
      </c>
      <c r="D394" s="14" t="str">
        <f>IFERROR(VLOOKUP($C394,'Test Library'!$A:$P,2,FALSE),"")</f>
        <v>Accessibility &amp; Usability</v>
      </c>
      <c r="E394" s="14" t="str">
        <f>IFERROR(VLOOKUP($C394,'Test Library'!$A:$P,3,FALSE),"")</f>
        <v>Keyboard, screen reader and visual access</v>
      </c>
      <c r="F394" s="14" t="str">
        <f>IFERROR(VLOOKUP($C394,'Test Library'!$A:$P,5,FALSE),"")</f>
        <v>Use a screen reader on rota builder</v>
      </c>
      <c r="G394" s="14" t="str">
        <f>IFERROR(VLOOKUP($C394,'Test Library'!$A:$P,6,FALSE),"")</f>
        <v>Critical</v>
      </c>
      <c r="H394" s="14" t="inlineStr">
        <is>
          <t xml:space="preserve">Staging</t>
        </is>
      </c>
      <c r="I394" s="14" t="inlineStr">
        <is>
          <t xml:space="preserve">Not Run</t>
        </is>
      </c>
      <c r="J394" s="14"/>
      <c r="K394" s="17"/>
      <c r="L394" s="14"/>
      <c r="M394" s="14"/>
      <c r="N394" s="14"/>
      <c r="O394" s="14" t="inlineStr">
        <is>
          <t xml:space="preserve">Not Required</t>
        </is>
      </c>
      <c r="P394" s="14" t="str">
        <f>IFERROR(VLOOKUP($C394,'Test Library'!$A:$P,14,FALSE),"")</f>
        <v>Yes</v>
      </c>
      <c r="Q394" s="14"/>
    </row>
    <row r="395">
      <c r="A395" s="14" t="inlineStr">
        <is>
          <t xml:space="preserve">BETARUN-0415</t>
        </is>
      </c>
      <c r="B395" s="14" t="inlineStr">
        <is>
          <t xml:space="preserve">Beta Release</t>
        </is>
      </c>
      <c r="C395" s="14" t="inlineStr">
        <is>
          <t xml:space="preserve">RR-0415</t>
        </is>
      </c>
      <c r="D395" s="14" t="str">
        <f>IFERROR(VLOOKUP($C395,'Test Library'!$A:$P,2,FALSE),"")</f>
        <v>Accessibility &amp; Usability</v>
      </c>
      <c r="E395" s="14" t="str">
        <f>IFERROR(VLOOKUP($C395,'Test Library'!$A:$P,3,FALSE),"")</f>
        <v>Keyboard, screen reader and visual access</v>
      </c>
      <c r="F395" s="14" t="str">
        <f>IFERROR(VLOOKUP($C395,'Test Library'!$A:$P,5,FALSE),"")</f>
        <v>Use a screen reader on clock page</v>
      </c>
      <c r="G395" s="14" t="str">
        <f>IFERROR(VLOOKUP($C395,'Test Library'!$A:$P,6,FALSE),"")</f>
        <v>Critical</v>
      </c>
      <c r="H395" s="14" t="inlineStr">
        <is>
          <t xml:space="preserve">Staging</t>
        </is>
      </c>
      <c r="I395" s="14" t="inlineStr">
        <is>
          <t xml:space="preserve">Not Run</t>
        </is>
      </c>
      <c r="J395" s="14"/>
      <c r="K395" s="17"/>
      <c r="L395" s="14"/>
      <c r="M395" s="14"/>
      <c r="N395" s="14"/>
      <c r="O395" s="14" t="inlineStr">
        <is>
          <t xml:space="preserve">Not Required</t>
        </is>
      </c>
      <c r="P395" s="14" t="str">
        <f>IFERROR(VLOOKUP($C395,'Test Library'!$A:$P,14,FALSE),"")</f>
        <v>Yes</v>
      </c>
      <c r="Q395" s="14"/>
    </row>
    <row r="396">
      <c r="A396" s="14" t="inlineStr">
        <is>
          <t xml:space="preserve">BETARUN-0416</t>
        </is>
      </c>
      <c r="B396" s="14" t="inlineStr">
        <is>
          <t xml:space="preserve">Beta Release</t>
        </is>
      </c>
      <c r="C396" s="14" t="inlineStr">
        <is>
          <t xml:space="preserve">RR-0416</t>
        </is>
      </c>
      <c r="D396" s="14" t="str">
        <f>IFERROR(VLOOKUP($C396,'Test Library'!$A:$P,2,FALSE),"")</f>
        <v>Accessibility &amp; Usability</v>
      </c>
      <c r="E396" s="14" t="str">
        <f>IFERROR(VLOOKUP($C396,'Test Library'!$A:$P,3,FALSE),"")</f>
        <v>Keyboard, screen reader and visual access</v>
      </c>
      <c r="F396" s="14" t="str">
        <f>IFERROR(VLOOKUP($C396,'Test Library'!$A:$P,5,FALSE),"")</f>
        <v>Zoom browser to 200%</v>
      </c>
      <c r="G396" s="14" t="str">
        <f>IFERROR(VLOOKUP($C396,'Test Library'!$A:$P,6,FALSE),"")</f>
        <v>High</v>
      </c>
      <c r="H396" s="14" t="inlineStr">
        <is>
          <t xml:space="preserve">Staging</t>
        </is>
      </c>
      <c r="I396" s="14" t="inlineStr">
        <is>
          <t xml:space="preserve">Not Run</t>
        </is>
      </c>
      <c r="J396" s="14"/>
      <c r="K396" s="17"/>
      <c r="L396" s="14"/>
      <c r="M396" s="14"/>
      <c r="N396" s="14"/>
      <c r="O396" s="14" t="inlineStr">
        <is>
          <t xml:space="preserve">Not Required</t>
        </is>
      </c>
      <c r="P396" s="14" t="str">
        <f>IFERROR(VLOOKUP($C396,'Test Library'!$A:$P,14,FALSE),"")</f>
        <v>Yes</v>
      </c>
      <c r="Q396" s="14"/>
    </row>
    <row r="397">
      <c r="A397" s="14" t="inlineStr">
        <is>
          <t xml:space="preserve">BETARUN-0417</t>
        </is>
      </c>
      <c r="B397" s="14" t="inlineStr">
        <is>
          <t xml:space="preserve">Beta Release</t>
        </is>
      </c>
      <c r="C397" s="14" t="inlineStr">
        <is>
          <t xml:space="preserve">RR-0417</t>
        </is>
      </c>
      <c r="D397" s="14" t="str">
        <f>IFERROR(VLOOKUP($C397,'Test Library'!$A:$P,2,FALSE),"")</f>
        <v>Accessibility &amp; Usability</v>
      </c>
      <c r="E397" s="14" t="str">
        <f>IFERROR(VLOOKUP($C397,'Test Library'!$A:$P,3,FALSE),"")</f>
        <v>Keyboard, screen reader and visual access</v>
      </c>
      <c r="F397" s="14" t="str">
        <f>IFERROR(VLOOKUP($C397,'Test Library'!$A:$P,5,FALSE),"")</f>
        <v>Increase mobile text size</v>
      </c>
      <c r="G397" s="14" t="str">
        <f>IFERROR(VLOOKUP($C397,'Test Library'!$A:$P,6,FALSE),"")</f>
        <v>High</v>
      </c>
      <c r="H397" s="14" t="inlineStr">
        <is>
          <t xml:space="preserve">Staging</t>
        </is>
      </c>
      <c r="I397" s="14" t="inlineStr">
        <is>
          <t xml:space="preserve">Not Run</t>
        </is>
      </c>
      <c r="J397" s="14"/>
      <c r="K397" s="17"/>
      <c r="L397" s="14"/>
      <c r="M397" s="14"/>
      <c r="N397" s="14"/>
      <c r="O397" s="14" t="inlineStr">
        <is>
          <t xml:space="preserve">Not Required</t>
        </is>
      </c>
      <c r="P397" s="14" t="str">
        <f>IFERROR(VLOOKUP($C397,'Test Library'!$A:$P,14,FALSE),"")</f>
        <v>Yes</v>
      </c>
      <c r="Q397" s="14"/>
    </row>
    <row r="398">
      <c r="A398" s="14" t="inlineStr">
        <is>
          <t xml:space="preserve">BETARUN-0418</t>
        </is>
      </c>
      <c r="B398" s="14" t="inlineStr">
        <is>
          <t xml:space="preserve">Beta Release</t>
        </is>
      </c>
      <c r="C398" s="14" t="inlineStr">
        <is>
          <t xml:space="preserve">RR-0418</t>
        </is>
      </c>
      <c r="D398" s="14" t="str">
        <f>IFERROR(VLOOKUP($C398,'Test Library'!$A:$P,2,FALSE),"")</f>
        <v>Accessibility &amp; Usability</v>
      </c>
      <c r="E398" s="14" t="str">
        <f>IFERROR(VLOOKUP($C398,'Test Library'!$A:$P,3,FALSE),"")</f>
        <v>Keyboard, screen reader and visual access</v>
      </c>
      <c r="F398" s="14" t="str">
        <f>IFERROR(VLOOKUP($C398,'Test Library'!$A:$P,5,FALSE),"")</f>
        <v>Use dark mode/high contrast settings</v>
      </c>
      <c r="G398" s="14" t="str">
        <f>IFERROR(VLOOKUP($C398,'Test Library'!$A:$P,6,FALSE),"")</f>
        <v>Medium</v>
      </c>
      <c r="H398" s="14" t="inlineStr">
        <is>
          <t xml:space="preserve">Staging</t>
        </is>
      </c>
      <c r="I398" s="14" t="inlineStr">
        <is>
          <t xml:space="preserve">Not Run</t>
        </is>
      </c>
      <c r="J398" s="14"/>
      <c r="K398" s="17"/>
      <c r="L398" s="14"/>
      <c r="M398" s="14"/>
      <c r="N398" s="14"/>
      <c r="O398" s="14" t="inlineStr">
        <is>
          <t xml:space="preserve">Not Required</t>
        </is>
      </c>
      <c r="P398" s="14" t="str">
        <f>IFERROR(VLOOKUP($C398,'Test Library'!$A:$P,14,FALSE),"")</f>
        <v>No</v>
      </c>
      <c r="Q398" s="14"/>
    </row>
    <row r="399">
      <c r="A399" s="14" t="inlineStr">
        <is>
          <t xml:space="preserve">BETARUN-0419</t>
        </is>
      </c>
      <c r="B399" s="14" t="inlineStr">
        <is>
          <t xml:space="preserve">Beta Release</t>
        </is>
      </c>
      <c r="C399" s="14" t="inlineStr">
        <is>
          <t xml:space="preserve">RR-0419</t>
        </is>
      </c>
      <c r="D399" s="14" t="str">
        <f>IFERROR(VLOOKUP($C399,'Test Library'!$A:$P,2,FALSE),"")</f>
        <v>Accessibility &amp; Usability</v>
      </c>
      <c r="E399" s="14" t="str">
        <f>IFERROR(VLOOKUP($C399,'Test Library'!$A:$P,3,FALSE),"")</f>
        <v>Keyboard, screen reader and visual access</v>
      </c>
      <c r="F399" s="14" t="str">
        <f>IFERROR(VLOOKUP($C399,'Test Library'!$A:$P,5,FALSE),"")</f>
        <v>Status is communicated without colour alone</v>
      </c>
      <c r="G399" s="14" t="str">
        <f>IFERROR(VLOOKUP($C399,'Test Library'!$A:$P,6,FALSE),"")</f>
        <v>High</v>
      </c>
      <c r="H399" s="14" t="inlineStr">
        <is>
          <t xml:space="preserve">Staging</t>
        </is>
      </c>
      <c r="I399" s="14" t="inlineStr">
        <is>
          <t xml:space="preserve">Not Run</t>
        </is>
      </c>
      <c r="J399" s="14"/>
      <c r="K399" s="17"/>
      <c r="L399" s="14"/>
      <c r="M399" s="14"/>
      <c r="N399" s="14"/>
      <c r="O399" s="14" t="inlineStr">
        <is>
          <t xml:space="preserve">Not Required</t>
        </is>
      </c>
      <c r="P399" s="14" t="str">
        <f>IFERROR(VLOOKUP($C399,'Test Library'!$A:$P,14,FALSE),"")</f>
        <v>Yes</v>
      </c>
      <c r="Q399" s="14"/>
    </row>
    <row r="400">
      <c r="A400" s="14" t="inlineStr">
        <is>
          <t xml:space="preserve">BETARUN-0420</t>
        </is>
      </c>
      <c r="B400" s="14" t="inlineStr">
        <is>
          <t xml:space="preserve">Beta Release</t>
        </is>
      </c>
      <c r="C400" s="14" t="inlineStr">
        <is>
          <t xml:space="preserve">RR-0420</t>
        </is>
      </c>
      <c r="D400" s="14" t="str">
        <f>IFERROR(VLOOKUP($C400,'Test Library'!$A:$P,2,FALSE),"")</f>
        <v>Accessibility &amp; Usability</v>
      </c>
      <c r="E400" s="14" t="str">
        <f>IFERROR(VLOOKUP($C400,'Test Library'!$A:$P,3,FALSE),"")</f>
        <v>Keyboard, screen reader and visual access</v>
      </c>
      <c r="F400" s="14" t="str">
        <f>IFERROR(VLOOKUP($C400,'Test Library'!$A:$P,5,FALSE),"")</f>
        <v>Reduced-motion preference is enabled</v>
      </c>
      <c r="G400" s="14" t="str">
        <f>IFERROR(VLOOKUP($C400,'Test Library'!$A:$P,6,FALSE),"")</f>
        <v>Medium</v>
      </c>
      <c r="H400" s="14" t="inlineStr">
        <is>
          <t xml:space="preserve">Staging</t>
        </is>
      </c>
      <c r="I400" s="14" t="inlineStr">
        <is>
          <t xml:space="preserve">Not Run</t>
        </is>
      </c>
      <c r="J400" s="14"/>
      <c r="K400" s="17"/>
      <c r="L400" s="14"/>
      <c r="M400" s="14"/>
      <c r="N400" s="14"/>
      <c r="O400" s="14" t="inlineStr">
        <is>
          <t xml:space="preserve">Not Required</t>
        </is>
      </c>
      <c r="P400" s="14" t="str">
        <f>IFERROR(VLOOKUP($C400,'Test Library'!$A:$P,14,FALSE),"")</f>
        <v>No</v>
      </c>
      <c r="Q400" s="14"/>
    </row>
    <row r="401">
      <c r="A401" s="14" t="inlineStr">
        <is>
          <t xml:space="preserve">BETARUN-0421</t>
        </is>
      </c>
      <c r="B401" s="14" t="inlineStr">
        <is>
          <t xml:space="preserve">Beta Release</t>
        </is>
      </c>
      <c r="C401" s="14" t="inlineStr">
        <is>
          <t xml:space="preserve">RR-0421</t>
        </is>
      </c>
      <c r="D401" s="14" t="str">
        <f>IFERROR(VLOOKUP($C401,'Test Library'!$A:$P,2,FALSE),"")</f>
        <v>Accessibility &amp; Usability</v>
      </c>
      <c r="E401" s="14" t="str">
        <f>IFERROR(VLOOKUP($C401,'Test Library'!$A:$P,3,FALSE),"")</f>
        <v>Keyboard, screen reader and visual access</v>
      </c>
      <c r="F401" s="14" t="str">
        <f>IFERROR(VLOOKUP($C401,'Test Library'!$A:$P,5,FALSE),"")</f>
        <v>Form contains validation errors</v>
      </c>
      <c r="G401" s="14" t="str">
        <f>IFERROR(VLOOKUP($C401,'Test Library'!$A:$P,6,FALSE),"")</f>
        <v>High</v>
      </c>
      <c r="H401" s="14" t="inlineStr">
        <is>
          <t xml:space="preserve">Staging</t>
        </is>
      </c>
      <c r="I401" s="14" t="inlineStr">
        <is>
          <t xml:space="preserve">Not Run</t>
        </is>
      </c>
      <c r="J401" s="14"/>
      <c r="K401" s="17"/>
      <c r="L401" s="14"/>
      <c r="M401" s="14"/>
      <c r="N401" s="14"/>
      <c r="O401" s="14" t="inlineStr">
        <is>
          <t xml:space="preserve">Not Required</t>
        </is>
      </c>
      <c r="P401" s="14" t="str">
        <f>IFERROR(VLOOKUP($C401,'Test Library'!$A:$P,14,FALSE),"")</f>
        <v>Yes</v>
      </c>
      <c r="Q401" s="14"/>
    </row>
    <row r="402">
      <c r="A402" s="14" t="inlineStr">
        <is>
          <t xml:space="preserve">BETARUN-0422</t>
        </is>
      </c>
      <c r="B402" s="14" t="inlineStr">
        <is>
          <t xml:space="preserve">Beta Release</t>
        </is>
      </c>
      <c r="C402" s="14" t="inlineStr">
        <is>
          <t xml:space="preserve">RR-0422</t>
        </is>
      </c>
      <c r="D402" s="14" t="str">
        <f>IFERROR(VLOOKUP($C402,'Test Library'!$A:$P,2,FALSE),"")</f>
        <v>Accessibility &amp; Usability</v>
      </c>
      <c r="E402" s="14" t="str">
        <f>IFERROR(VLOOKUP($C402,'Test Library'!$A:$P,3,FALSE),"")</f>
        <v>Keyboard, screen reader and visual access</v>
      </c>
      <c r="F402" s="14" t="str">
        <f>IFERROR(VLOOKUP($C402,'Test Library'!$A:$P,5,FALSE),"")</f>
        <v>Touch targets on mobile</v>
      </c>
      <c r="G402" s="14" t="str">
        <f>IFERROR(VLOOKUP($C402,'Test Library'!$A:$P,6,FALSE),"")</f>
        <v>High</v>
      </c>
      <c r="H402" s="14" t="inlineStr">
        <is>
          <t xml:space="preserve">Staging</t>
        </is>
      </c>
      <c r="I402" s="14" t="inlineStr">
        <is>
          <t xml:space="preserve">Not Run</t>
        </is>
      </c>
      <c r="J402" s="14"/>
      <c r="K402" s="17"/>
      <c r="L402" s="14"/>
      <c r="M402" s="14"/>
      <c r="N402" s="14"/>
      <c r="O402" s="14" t="inlineStr">
        <is>
          <t xml:space="preserve">Not Required</t>
        </is>
      </c>
      <c r="P402" s="14" t="str">
        <f>IFERROR(VLOOKUP($C402,'Test Library'!$A:$P,14,FALSE),"")</f>
        <v>Yes</v>
      </c>
      <c r="Q402" s="14"/>
    </row>
    <row r="403">
      <c r="A403" s="14" t="inlineStr">
        <is>
          <t xml:space="preserve">BETARUN-0423</t>
        </is>
      </c>
      <c r="B403" s="14" t="inlineStr">
        <is>
          <t xml:space="preserve">Beta Release</t>
        </is>
      </c>
      <c r="C403" s="14" t="inlineStr">
        <is>
          <t xml:space="preserve">RR-0423</t>
        </is>
      </c>
      <c r="D403" s="14" t="str">
        <f>IFERROR(VLOOKUP($C403,'Test Library'!$A:$P,2,FALSE),"")</f>
        <v>Accessibility &amp; Usability</v>
      </c>
      <c r="E403" s="14" t="str">
        <f>IFERROR(VLOOKUP($C403,'Test Library'!$A:$P,3,FALSE),"")</f>
        <v>Keyboard, screen reader and visual access</v>
      </c>
      <c r="F403" s="14" t="str">
        <f>IFERROR(VLOOKUP($C403,'Test Library'!$A:$P,5,FALSE),"")</f>
        <v>Destructive action confirmation</v>
      </c>
      <c r="G403" s="14" t="str">
        <f>IFERROR(VLOOKUP($C403,'Test Library'!$A:$P,6,FALSE),"")</f>
        <v>High</v>
      </c>
      <c r="H403" s="14" t="inlineStr">
        <is>
          <t xml:space="preserve">Staging</t>
        </is>
      </c>
      <c r="I403" s="14" t="inlineStr">
        <is>
          <t xml:space="preserve">Not Run</t>
        </is>
      </c>
      <c r="J403" s="14"/>
      <c r="K403" s="17"/>
      <c r="L403" s="14"/>
      <c r="M403" s="14"/>
      <c r="N403" s="14"/>
      <c r="O403" s="14" t="inlineStr">
        <is>
          <t xml:space="preserve">Not Required</t>
        </is>
      </c>
      <c r="P403" s="14" t="str">
        <f>IFERROR(VLOOKUP($C403,'Test Library'!$A:$P,14,FALSE),"")</f>
        <v>Yes</v>
      </c>
      <c r="Q403" s="14"/>
    </row>
    <row r="404">
      <c r="A404" s="14" t="inlineStr">
        <is>
          <t xml:space="preserve">BETARUN-0424</t>
        </is>
      </c>
      <c r="B404" s="14" t="inlineStr">
        <is>
          <t xml:space="preserve">Beta Release</t>
        </is>
      </c>
      <c r="C404" s="14" t="inlineStr">
        <is>
          <t xml:space="preserve">RR-0424</t>
        </is>
      </c>
      <c r="D404" s="14" t="str">
        <f>IFERROR(VLOOKUP($C404,'Test Library'!$A:$P,2,FALSE),"")</f>
        <v>Accessibility &amp; Usability</v>
      </c>
      <c r="E404" s="14" t="str">
        <f>IFERROR(VLOOKUP($C404,'Test Library'!$A:$P,3,FALSE),"")</f>
        <v>Keyboard, screen reader and visual access</v>
      </c>
      <c r="F404" s="14" t="str">
        <f>IFERROR(VLOOKUP($C404,'Test Library'!$A:$P,5,FALSE),"")</f>
        <v>Empty/loading/error states</v>
      </c>
      <c r="G404" s="14" t="str">
        <f>IFERROR(VLOOKUP($C404,'Test Library'!$A:$P,6,FALSE),"")</f>
        <v>Medium</v>
      </c>
      <c r="H404" s="14" t="inlineStr">
        <is>
          <t xml:space="preserve">Staging</t>
        </is>
      </c>
      <c r="I404" s="14" t="inlineStr">
        <is>
          <t xml:space="preserve">Not Run</t>
        </is>
      </c>
      <c r="J404" s="14"/>
      <c r="K404" s="17"/>
      <c r="L404" s="14"/>
      <c r="M404" s="14"/>
      <c r="N404" s="14"/>
      <c r="O404" s="14" t="inlineStr">
        <is>
          <t xml:space="preserve">Not Required</t>
        </is>
      </c>
      <c r="P404" s="14" t="str">
        <f>IFERROR(VLOOKUP($C404,'Test Library'!$A:$P,14,FALSE),"")</f>
        <v>No</v>
      </c>
      <c r="Q404" s="14"/>
    </row>
    <row r="405">
      <c r="A405" s="14" t="inlineStr">
        <is>
          <t xml:space="preserve">BETARUN-0425</t>
        </is>
      </c>
      <c r="B405" s="14" t="inlineStr">
        <is>
          <t xml:space="preserve">Beta Release</t>
        </is>
      </c>
      <c r="C405" s="14" t="inlineStr">
        <is>
          <t xml:space="preserve">RR-0425</t>
        </is>
      </c>
      <c r="D405" s="14" t="str">
        <f>IFERROR(VLOOKUP($C405,'Test Library'!$A:$P,2,FALSE),"")</f>
        <v>Accessibility &amp; Usability</v>
      </c>
      <c r="E405" s="14" t="str">
        <f>IFERROR(VLOOKUP($C405,'Test Library'!$A:$P,3,FALSE),"")</f>
        <v>Keyboard, screen reader and visual access</v>
      </c>
      <c r="F405" s="14" t="str">
        <f>IFERROR(VLOOKUP($C405,'Test Library'!$A:$P,5,FALSE),"")</f>
        <v>Date/time wording</v>
      </c>
      <c r="G405" s="14" t="str">
        <f>IFERROR(VLOOKUP($C405,'Test Library'!$A:$P,6,FALSE),"")</f>
        <v>High</v>
      </c>
      <c r="H405" s="14" t="inlineStr">
        <is>
          <t xml:space="preserve">Staging</t>
        </is>
      </c>
      <c r="I405" s="14" t="inlineStr">
        <is>
          <t xml:space="preserve">Not Run</t>
        </is>
      </c>
      <c r="J405" s="14"/>
      <c r="K405" s="17"/>
      <c r="L405" s="14"/>
      <c r="M405" s="14"/>
      <c r="N405" s="14"/>
      <c r="O405" s="14" t="inlineStr">
        <is>
          <t xml:space="preserve">Not Required</t>
        </is>
      </c>
      <c r="P405" s="14" t="str">
        <f>IFERROR(VLOOKUP($C405,'Test Library'!$A:$P,14,FALSE),"")</f>
        <v>Yes</v>
      </c>
      <c r="Q405" s="14"/>
    </row>
    <row r="406">
      <c r="A406" s="14" t="inlineStr">
        <is>
          <t xml:space="preserve">BETARUN-0426</t>
        </is>
      </c>
      <c r="B406" s="14" t="inlineStr">
        <is>
          <t xml:space="preserve">Beta Release</t>
        </is>
      </c>
      <c r="C406" s="14" t="inlineStr">
        <is>
          <t xml:space="preserve">RR-0426</t>
        </is>
      </c>
      <c r="D406" s="14" t="str">
        <f>IFERROR(VLOOKUP($C406,'Test Library'!$A:$P,2,FALSE),"")</f>
        <v>Accessibility &amp; Usability</v>
      </c>
      <c r="E406" s="14" t="str">
        <f>IFERROR(VLOOKUP($C406,'Test Library'!$A:$P,3,FALSE),"")</f>
        <v>Keyboard, screen reader and visual access</v>
      </c>
      <c r="F406" s="14" t="str">
        <f>IFERROR(VLOOKUP($C406,'Test Library'!$A:$P,5,FALSE),"")</f>
        <v>Use localisation-sensitive names and formats</v>
      </c>
      <c r="G406" s="14" t="str">
        <f>IFERROR(VLOOKUP($C406,'Test Library'!$A:$P,6,FALSE),"")</f>
        <v>Medium</v>
      </c>
      <c r="H406" s="14" t="inlineStr">
        <is>
          <t xml:space="preserve">Staging</t>
        </is>
      </c>
      <c r="I406" s="14" t="inlineStr">
        <is>
          <t xml:space="preserve">Not Run</t>
        </is>
      </c>
      <c r="J406" s="14"/>
      <c r="K406" s="17"/>
      <c r="L406" s="14"/>
      <c r="M406" s="14"/>
      <c r="N406" s="14"/>
      <c r="O406" s="14" t="inlineStr">
        <is>
          <t xml:space="preserve">Not Required</t>
        </is>
      </c>
      <c r="P406" s="14" t="str">
        <f>IFERROR(VLOOKUP($C406,'Test Library'!$A:$P,14,FALSE),"")</f>
        <v>No</v>
      </c>
      <c r="Q406" s="14"/>
    </row>
    <row r="407">
      <c r="A407" s="14" t="inlineStr">
        <is>
          <t xml:space="preserve">BETARUN-0427</t>
        </is>
      </c>
      <c r="B407" s="14" t="inlineStr">
        <is>
          <t xml:space="preserve">Beta Release</t>
        </is>
      </c>
      <c r="C407" s="14" t="inlineStr">
        <is>
          <t xml:space="preserve">RR-0427</t>
        </is>
      </c>
      <c r="D407" s="14" t="str">
        <f>IFERROR(VLOOKUP($C407,'Test Library'!$A:$P,2,FALSE),"")</f>
        <v>Performance &amp; Reliability</v>
      </c>
      <c r="E407" s="14" t="str">
        <f>IFERROR(VLOOKUP($C407,'Test Library'!$A:$P,3,FALSE),"")</f>
        <v>Performance</v>
      </c>
      <c r="F407" s="14" t="str">
        <f>IFERROR(VLOOKUP($C407,'Test Library'!$A:$P,5,FALSE),"")</f>
        <v>Load dashboard for typical 40-employee bar</v>
      </c>
      <c r="G407" s="14" t="str">
        <f>IFERROR(VLOOKUP($C407,'Test Library'!$A:$P,6,FALSE),"")</f>
        <v>High</v>
      </c>
      <c r="H407" s="14" t="inlineStr">
        <is>
          <t xml:space="preserve">Staging</t>
        </is>
      </c>
      <c r="I407" s="14" t="inlineStr">
        <is>
          <t xml:space="preserve">Not Run</t>
        </is>
      </c>
      <c r="J407" s="14"/>
      <c r="K407" s="17"/>
      <c r="L407" s="14"/>
      <c r="M407" s="14"/>
      <c r="N407" s="14"/>
      <c r="O407" s="14" t="inlineStr">
        <is>
          <t xml:space="preserve">Not Required</t>
        </is>
      </c>
      <c r="P407" s="14" t="str">
        <f>IFERROR(VLOOKUP($C407,'Test Library'!$A:$P,14,FALSE),"")</f>
        <v>Yes</v>
      </c>
      <c r="Q407" s="14"/>
    </row>
    <row r="408">
      <c r="A408" s="14" t="inlineStr">
        <is>
          <t xml:space="preserve">BETARUN-0428</t>
        </is>
      </c>
      <c r="B408" s="14" t="inlineStr">
        <is>
          <t xml:space="preserve">Beta Release</t>
        </is>
      </c>
      <c r="C408" s="14" t="inlineStr">
        <is>
          <t xml:space="preserve">RR-0428</t>
        </is>
      </c>
      <c r="D408" s="14" t="str">
        <f>IFERROR(VLOOKUP($C408,'Test Library'!$A:$P,2,FALSE),"")</f>
        <v>Performance &amp; Reliability</v>
      </c>
      <c r="E408" s="14" t="str">
        <f>IFERROR(VLOOKUP($C408,'Test Library'!$A:$P,3,FALSE),"")</f>
        <v>Performance</v>
      </c>
      <c r="F408" s="14" t="str">
        <f>IFERROR(VLOOKUP($C408,'Test Library'!$A:$P,5,FALSE),"")</f>
        <v>Load rota with 200 employees and full week</v>
      </c>
      <c r="G408" s="14" t="str">
        <f>IFERROR(VLOOKUP($C408,'Test Library'!$A:$P,6,FALSE),"")</f>
        <v>Critical</v>
      </c>
      <c r="H408" s="14" t="inlineStr">
        <is>
          <t xml:space="preserve">Staging</t>
        </is>
      </c>
      <c r="I408" s="14" t="inlineStr">
        <is>
          <t xml:space="preserve">Not Run</t>
        </is>
      </c>
      <c r="J408" s="14"/>
      <c r="K408" s="17"/>
      <c r="L408" s="14"/>
      <c r="M408" s="14"/>
      <c r="N408" s="14"/>
      <c r="O408" s="14" t="inlineStr">
        <is>
          <t xml:space="preserve">Not Required</t>
        </is>
      </c>
      <c r="P408" s="14" t="str">
        <f>IFERROR(VLOOKUP($C408,'Test Library'!$A:$P,14,FALSE),"")</f>
        <v>Yes</v>
      </c>
      <c r="Q408" s="14"/>
    </row>
    <row r="409">
      <c r="A409" s="14" t="inlineStr">
        <is>
          <t xml:space="preserve">BETARUN-0429</t>
        </is>
      </c>
      <c r="B409" s="14" t="inlineStr">
        <is>
          <t xml:space="preserve">Beta Release</t>
        </is>
      </c>
      <c r="C409" s="14" t="inlineStr">
        <is>
          <t xml:space="preserve">RR-0429</t>
        </is>
      </c>
      <c r="D409" s="14" t="str">
        <f>IFERROR(VLOOKUP($C409,'Test Library'!$A:$P,2,FALSE),"")</f>
        <v>Performance &amp; Reliability</v>
      </c>
      <c r="E409" s="14" t="str">
        <f>IFERROR(VLOOKUP($C409,'Test Library'!$A:$P,3,FALSE),"")</f>
        <v>Performance</v>
      </c>
      <c r="F409" s="14" t="str">
        <f>IFERROR(VLOOKUP($C409,'Test Library'!$A:$P,5,FALSE),"")</f>
        <v>Publish rota for 500 employees</v>
      </c>
      <c r="G409" s="14" t="str">
        <f>IFERROR(VLOOKUP($C409,'Test Library'!$A:$P,6,FALSE),"")</f>
        <v>High</v>
      </c>
      <c r="H409" s="14" t="inlineStr">
        <is>
          <t xml:space="preserve">Staging</t>
        </is>
      </c>
      <c r="I409" s="14" t="inlineStr">
        <is>
          <t xml:space="preserve">Not Run</t>
        </is>
      </c>
      <c r="J409" s="14"/>
      <c r="K409" s="17"/>
      <c r="L409" s="14"/>
      <c r="M409" s="14"/>
      <c r="N409" s="14"/>
      <c r="O409" s="14" t="inlineStr">
        <is>
          <t xml:space="preserve">Not Required</t>
        </is>
      </c>
      <c r="P409" s="14" t="str">
        <f>IFERROR(VLOOKUP($C409,'Test Library'!$A:$P,14,FALSE),"")</f>
        <v>Yes</v>
      </c>
      <c r="Q409" s="14"/>
    </row>
    <row r="410">
      <c r="A410" s="14" t="inlineStr">
        <is>
          <t xml:space="preserve">BETARUN-0430</t>
        </is>
      </c>
      <c r="B410" s="14" t="inlineStr">
        <is>
          <t xml:space="preserve">Beta Release</t>
        </is>
      </c>
      <c r="C410" s="14" t="inlineStr">
        <is>
          <t xml:space="preserve">RR-0430</t>
        </is>
      </c>
      <c r="D410" s="14" t="str">
        <f>IFERROR(VLOOKUP($C410,'Test Library'!$A:$P,2,FALSE),"")</f>
        <v>Performance &amp; Reliability</v>
      </c>
      <c r="E410" s="14" t="str">
        <f>IFERROR(VLOOKUP($C410,'Test Library'!$A:$P,3,FALSE),"")</f>
        <v>Performance</v>
      </c>
      <c r="F410" s="14" t="str">
        <f>IFERROR(VLOOKUP($C410,'Test Library'!$A:$P,5,FALSE),"")</f>
        <v>Generate large PDF export</v>
      </c>
      <c r="G410" s="14" t="str">
        <f>IFERROR(VLOOKUP($C410,'Test Library'!$A:$P,6,FALSE),"")</f>
        <v>High</v>
      </c>
      <c r="H410" s="14" t="inlineStr">
        <is>
          <t xml:space="preserve">Staging</t>
        </is>
      </c>
      <c r="I410" s="14" t="inlineStr">
        <is>
          <t xml:space="preserve">Not Run</t>
        </is>
      </c>
      <c r="J410" s="14"/>
      <c r="K410" s="17"/>
      <c r="L410" s="14"/>
      <c r="M410" s="14"/>
      <c r="N410" s="14"/>
      <c r="O410" s="14" t="inlineStr">
        <is>
          <t xml:space="preserve">Not Required</t>
        </is>
      </c>
      <c r="P410" s="14" t="str">
        <f>IFERROR(VLOOKUP($C410,'Test Library'!$A:$P,14,FALSE),"")</f>
        <v>Yes</v>
      </c>
      <c r="Q410" s="14"/>
    </row>
    <row r="411">
      <c r="A411" s="14" t="inlineStr">
        <is>
          <t xml:space="preserve">BETARUN-0431</t>
        </is>
      </c>
      <c r="B411" s="14" t="inlineStr">
        <is>
          <t xml:space="preserve">Beta Release</t>
        </is>
      </c>
      <c r="C411" s="14" t="inlineStr">
        <is>
          <t xml:space="preserve">RR-0431</t>
        </is>
      </c>
      <c r="D411" s="14" t="str">
        <f>IFERROR(VLOOKUP($C411,'Test Library'!$A:$P,2,FALSE),"")</f>
        <v>Performance &amp; Reliability</v>
      </c>
      <c r="E411" s="14" t="str">
        <f>IFERROR(VLOOKUP($C411,'Test Library'!$A:$P,3,FALSE),"")</f>
        <v>Performance</v>
      </c>
      <c r="F411" s="14" t="str">
        <f>IFERROR(VLOOKUP($C411,'Test Library'!$A:$P,5,FALSE),"")</f>
        <v>Open timesheets with one year of history</v>
      </c>
      <c r="G411" s="14" t="str">
        <f>IFERROR(VLOOKUP($C411,'Test Library'!$A:$P,6,FALSE),"")</f>
        <v>High</v>
      </c>
      <c r="H411" s="14" t="inlineStr">
        <is>
          <t xml:space="preserve">Staging</t>
        </is>
      </c>
      <c r="I411" s="14" t="inlineStr">
        <is>
          <t xml:space="preserve">Not Run</t>
        </is>
      </c>
      <c r="J411" s="14"/>
      <c r="K411" s="17"/>
      <c r="L411" s="14"/>
      <c r="M411" s="14"/>
      <c r="N411" s="14"/>
      <c r="O411" s="14" t="inlineStr">
        <is>
          <t xml:space="preserve">Not Required</t>
        </is>
      </c>
      <c r="P411" s="14" t="str">
        <f>IFERROR(VLOOKUP($C411,'Test Library'!$A:$P,14,FALSE),"")</f>
        <v>Yes</v>
      </c>
      <c r="Q411" s="14"/>
    </row>
    <row r="412">
      <c r="A412" s="14" t="inlineStr">
        <is>
          <t xml:space="preserve">BETARUN-0432</t>
        </is>
      </c>
      <c r="B412" s="14" t="inlineStr">
        <is>
          <t xml:space="preserve">Beta Release</t>
        </is>
      </c>
      <c r="C412" s="14" t="inlineStr">
        <is>
          <t xml:space="preserve">RR-0432</t>
        </is>
      </c>
      <c r="D412" s="14" t="str">
        <f>IFERROR(VLOOKUP($C412,'Test Library'!$A:$P,2,FALSE),"")</f>
        <v>Performance &amp; Reliability</v>
      </c>
      <c r="E412" s="14" t="str">
        <f>IFERROR(VLOOKUP($C412,'Test Library'!$A:$P,3,FALSE),"")</f>
        <v>Performance</v>
      </c>
      <c r="F412" s="14" t="str">
        <f>IFERROR(VLOOKUP($C412,'Test Library'!$A:$P,5,FALSE),"")</f>
        <v>Run repeated employee search</v>
      </c>
      <c r="G412" s="14" t="str">
        <f>IFERROR(VLOOKUP($C412,'Test Library'!$A:$P,6,FALSE),"")</f>
        <v>Medium</v>
      </c>
      <c r="H412" s="14" t="inlineStr">
        <is>
          <t xml:space="preserve">Staging</t>
        </is>
      </c>
      <c r="I412" s="14" t="inlineStr">
        <is>
          <t xml:space="preserve">Not Run</t>
        </is>
      </c>
      <c r="J412" s="14"/>
      <c r="K412" s="17"/>
      <c r="L412" s="14"/>
      <c r="M412" s="14"/>
      <c r="N412" s="14"/>
      <c r="O412" s="14" t="inlineStr">
        <is>
          <t xml:space="preserve">Not Required</t>
        </is>
      </c>
      <c r="P412" s="14" t="str">
        <f>IFERROR(VLOOKUP($C412,'Test Library'!$A:$P,14,FALSE),"")</f>
        <v>No</v>
      </c>
      <c r="Q412" s="14"/>
    </row>
    <row r="413">
      <c r="A413" s="14" t="inlineStr">
        <is>
          <t xml:space="preserve">BETARUN-0433</t>
        </is>
      </c>
      <c r="B413" s="14" t="inlineStr">
        <is>
          <t xml:space="preserve">Beta Release</t>
        </is>
      </c>
      <c r="C413" s="14" t="inlineStr">
        <is>
          <t xml:space="preserve">RR-0433</t>
        </is>
      </c>
      <c r="D413" s="14" t="str">
        <f>IFERROR(VLOOKUP($C413,'Test Library'!$A:$P,2,FALSE),"")</f>
        <v>Performance &amp; Reliability</v>
      </c>
      <c r="E413" s="14" t="str">
        <f>IFERROR(VLOOKUP($C413,'Test Library'!$A:$P,3,FALSE),"")</f>
        <v>Performance</v>
      </c>
      <c r="F413" s="14" t="str">
        <f>IFERROR(VLOOKUP($C413,'Test Library'!$A:$P,5,FALSE),"")</f>
        <v>Concurrent managers edit different locations</v>
      </c>
      <c r="G413" s="14" t="str">
        <f>IFERROR(VLOOKUP($C413,'Test Library'!$A:$P,6,FALSE),"")</f>
        <v>High</v>
      </c>
      <c r="H413" s="14" t="inlineStr">
        <is>
          <t xml:space="preserve">Staging</t>
        </is>
      </c>
      <c r="I413" s="14" t="inlineStr">
        <is>
          <t xml:space="preserve">Not Run</t>
        </is>
      </c>
      <c r="J413" s="14"/>
      <c r="K413" s="17"/>
      <c r="L413" s="14"/>
      <c r="M413" s="14"/>
      <c r="N413" s="14"/>
      <c r="O413" s="14" t="inlineStr">
        <is>
          <t xml:space="preserve">Not Required</t>
        </is>
      </c>
      <c r="P413" s="14" t="str">
        <f>IFERROR(VLOOKUP($C413,'Test Library'!$A:$P,14,FALSE),"")</f>
        <v>Yes</v>
      </c>
      <c r="Q413" s="14"/>
    </row>
    <row r="414">
      <c r="A414" s="14" t="inlineStr">
        <is>
          <t xml:space="preserve">BETARUN-0434</t>
        </is>
      </c>
      <c r="B414" s="14" t="inlineStr">
        <is>
          <t xml:space="preserve">Beta Release</t>
        </is>
      </c>
      <c r="C414" s="14" t="inlineStr">
        <is>
          <t xml:space="preserve">RR-0434</t>
        </is>
      </c>
      <c r="D414" s="14" t="str">
        <f>IFERROR(VLOOKUP($C414,'Test Library'!$A:$P,2,FALSE),"")</f>
        <v>Performance &amp; Reliability</v>
      </c>
      <c r="E414" s="14" t="str">
        <f>IFERROR(VLOOKUP($C414,'Test Library'!$A:$P,3,FALSE),"")</f>
        <v>Performance</v>
      </c>
      <c r="F414" s="14" t="str">
        <f>IFERROR(VLOOKUP($C414,'Test Library'!$A:$P,5,FALSE),"")</f>
        <v>Concurrent managers edit the same rota</v>
      </c>
      <c r="G414" s="14" t="str">
        <f>IFERROR(VLOOKUP($C414,'Test Library'!$A:$P,6,FALSE),"")</f>
        <v>Critical</v>
      </c>
      <c r="H414" s="14" t="inlineStr">
        <is>
          <t xml:space="preserve">Staging</t>
        </is>
      </c>
      <c r="I414" s="14" t="inlineStr">
        <is>
          <t xml:space="preserve">Not Run</t>
        </is>
      </c>
      <c r="J414" s="14"/>
      <c r="K414" s="17"/>
      <c r="L414" s="14"/>
      <c r="M414" s="14"/>
      <c r="N414" s="14"/>
      <c r="O414" s="14" t="inlineStr">
        <is>
          <t xml:space="preserve">Not Required</t>
        </is>
      </c>
      <c r="P414" s="14" t="str">
        <f>IFERROR(VLOOKUP($C414,'Test Library'!$A:$P,14,FALSE),"")</f>
        <v>Yes</v>
      </c>
      <c r="Q414" s="14"/>
    </row>
    <row r="415">
      <c r="A415" s="14" t="inlineStr">
        <is>
          <t xml:space="preserve">BETARUN-0435</t>
        </is>
      </c>
      <c r="B415" s="14" t="inlineStr">
        <is>
          <t xml:space="preserve">Beta Release</t>
        </is>
      </c>
      <c r="C415" s="14" t="inlineStr">
        <is>
          <t xml:space="preserve">RR-0435</t>
        </is>
      </c>
      <c r="D415" s="14" t="str">
        <f>IFERROR(VLOOKUP($C415,'Test Library'!$A:$P,2,FALSE),"")</f>
        <v>Performance &amp; Reliability</v>
      </c>
      <c r="E415" s="14" t="str">
        <f>IFERROR(VLOOKUP($C415,'Test Library'!$A:$P,3,FALSE),"")</f>
        <v>Failure handling and resilience</v>
      </c>
      <c r="F415" s="14" t="str">
        <f>IFERROR(VLOOKUP($C415,'Test Library'!$A:$P,5,FALSE),"")</f>
        <v>Database connection is temporarily unavailable</v>
      </c>
      <c r="G415" s="14" t="str">
        <f>IFERROR(VLOOKUP($C415,'Test Library'!$A:$P,6,FALSE),"")</f>
        <v>Critical</v>
      </c>
      <c r="H415" s="14" t="inlineStr">
        <is>
          <t xml:space="preserve">Staging</t>
        </is>
      </c>
      <c r="I415" s="14" t="inlineStr">
        <is>
          <t xml:space="preserve">Not Run</t>
        </is>
      </c>
      <c r="J415" s="14"/>
      <c r="K415" s="17"/>
      <c r="L415" s="14"/>
      <c r="M415" s="14"/>
      <c r="N415" s="14"/>
      <c r="O415" s="14" t="inlineStr">
        <is>
          <t xml:space="preserve">Not Required</t>
        </is>
      </c>
      <c r="P415" s="14" t="str">
        <f>IFERROR(VLOOKUP($C415,'Test Library'!$A:$P,14,FALSE),"")</f>
        <v>Yes</v>
      </c>
      <c r="Q415" s="14"/>
    </row>
    <row r="416">
      <c r="A416" s="14" t="inlineStr">
        <is>
          <t xml:space="preserve">BETARUN-0436</t>
        </is>
      </c>
      <c r="B416" s="14" t="inlineStr">
        <is>
          <t xml:space="preserve">Beta Release</t>
        </is>
      </c>
      <c r="C416" s="14" t="inlineStr">
        <is>
          <t xml:space="preserve">RR-0436</t>
        </is>
      </c>
      <c r="D416" s="14" t="str">
        <f>IFERROR(VLOOKUP($C416,'Test Library'!$A:$P,2,FALSE),"")</f>
        <v>Performance &amp; Reliability</v>
      </c>
      <c r="E416" s="14" t="str">
        <f>IFERROR(VLOOKUP($C416,'Test Library'!$A:$P,3,FALSE),"")</f>
        <v>Failure handling and resilience</v>
      </c>
      <c r="F416" s="14" t="str">
        <f>IFERROR(VLOOKUP($C416,'Test Library'!$A:$P,5,FALSE),"")</f>
        <v>Email provider is unavailable</v>
      </c>
      <c r="G416" s="14" t="str">
        <f>IFERROR(VLOOKUP($C416,'Test Library'!$A:$P,6,FALSE),"")</f>
        <v>High</v>
      </c>
      <c r="H416" s="14" t="inlineStr">
        <is>
          <t xml:space="preserve">Staging</t>
        </is>
      </c>
      <c r="I416" s="14" t="inlineStr">
        <is>
          <t xml:space="preserve">Not Run</t>
        </is>
      </c>
      <c r="J416" s="14"/>
      <c r="K416" s="17"/>
      <c r="L416" s="14"/>
      <c r="M416" s="14"/>
      <c r="N416" s="14"/>
      <c r="O416" s="14" t="inlineStr">
        <is>
          <t xml:space="preserve">Not Required</t>
        </is>
      </c>
      <c r="P416" s="14" t="str">
        <f>IFERROR(VLOOKUP($C416,'Test Library'!$A:$P,14,FALSE),"")</f>
        <v>Yes</v>
      </c>
      <c r="Q416" s="14"/>
    </row>
    <row r="417">
      <c r="A417" s="14" t="inlineStr">
        <is>
          <t xml:space="preserve">BETARUN-0437</t>
        </is>
      </c>
      <c r="B417" s="14" t="inlineStr">
        <is>
          <t xml:space="preserve">Beta Release</t>
        </is>
      </c>
      <c r="C417" s="14" t="inlineStr">
        <is>
          <t xml:space="preserve">RR-0437</t>
        </is>
      </c>
      <c r="D417" s="14" t="str">
        <f>IFERROR(VLOOKUP($C417,'Test Library'!$A:$P,2,FALSE),"")</f>
        <v>Performance &amp; Reliability</v>
      </c>
      <c r="E417" s="14" t="str">
        <f>IFERROR(VLOOKUP($C417,'Test Library'!$A:$P,3,FALSE),"")</f>
        <v>Failure handling and resilience</v>
      </c>
      <c r="F417" s="14" t="str">
        <f>IFERROR(VLOOKUP($C417,'Test Library'!$A:$P,5,FALSE),"")</f>
        <v>Push provider is unavailable</v>
      </c>
      <c r="G417" s="14" t="str">
        <f>IFERROR(VLOOKUP($C417,'Test Library'!$A:$P,6,FALSE),"")</f>
        <v>High</v>
      </c>
      <c r="H417" s="14" t="inlineStr">
        <is>
          <t xml:space="preserve">Staging</t>
        </is>
      </c>
      <c r="I417" s="14" t="inlineStr">
        <is>
          <t xml:space="preserve">Not Run</t>
        </is>
      </c>
      <c r="J417" s="14"/>
      <c r="K417" s="17"/>
      <c r="L417" s="14"/>
      <c r="M417" s="14"/>
      <c r="N417" s="14"/>
      <c r="O417" s="14" t="inlineStr">
        <is>
          <t xml:space="preserve">Not Required</t>
        </is>
      </c>
      <c r="P417" s="14" t="str">
        <f>IFERROR(VLOOKUP($C417,'Test Library'!$A:$P,14,FALSE),"")</f>
        <v>Yes</v>
      </c>
      <c r="Q417" s="14"/>
    </row>
    <row r="418">
      <c r="A418" s="14" t="inlineStr">
        <is>
          <t xml:space="preserve">BETARUN-0438</t>
        </is>
      </c>
      <c r="B418" s="14" t="inlineStr">
        <is>
          <t xml:space="preserve">Beta Release</t>
        </is>
      </c>
      <c r="C418" s="14" t="inlineStr">
        <is>
          <t xml:space="preserve">RR-0438</t>
        </is>
      </c>
      <c r="D418" s="14" t="str">
        <f>IFERROR(VLOOKUP($C418,'Test Library'!$A:$P,2,FALSE),"")</f>
        <v>Performance &amp; Reliability</v>
      </c>
      <c r="E418" s="14" t="str">
        <f>IFERROR(VLOOKUP($C418,'Test Library'!$A:$P,3,FALSE),"")</f>
        <v>Failure handling and resilience</v>
      </c>
      <c r="F418" s="14" t="str">
        <f>IFERROR(VLOOKUP($C418,'Test Library'!$A:$P,5,FALSE),"")</f>
        <v>Stripe webhook processing fails</v>
      </c>
      <c r="G418" s="14" t="str">
        <f>IFERROR(VLOOKUP($C418,'Test Library'!$A:$P,6,FALSE),"")</f>
        <v>Critical</v>
      </c>
      <c r="H418" s="14" t="inlineStr">
        <is>
          <t xml:space="preserve">Staging</t>
        </is>
      </c>
      <c r="I418" s="14" t="inlineStr">
        <is>
          <t xml:space="preserve">Not Run</t>
        </is>
      </c>
      <c r="J418" s="14"/>
      <c r="K418" s="17"/>
      <c r="L418" s="14"/>
      <c r="M418" s="14"/>
      <c r="N418" s="14"/>
      <c r="O418" s="14" t="inlineStr">
        <is>
          <t xml:space="preserve">Not Required</t>
        </is>
      </c>
      <c r="P418" s="14" t="str">
        <f>IFERROR(VLOOKUP($C418,'Test Library'!$A:$P,14,FALSE),"")</f>
        <v>Yes</v>
      </c>
      <c r="Q418" s="14"/>
    </row>
    <row r="419">
      <c r="A419" s="14" t="inlineStr">
        <is>
          <t xml:space="preserve">BETARUN-0439</t>
        </is>
      </c>
      <c r="B419" s="14" t="inlineStr">
        <is>
          <t xml:space="preserve">Beta Release</t>
        </is>
      </c>
      <c r="C419" s="14" t="inlineStr">
        <is>
          <t xml:space="preserve">RR-0439</t>
        </is>
      </c>
      <c r="D419" s="14" t="str">
        <f>IFERROR(VLOOKUP($C419,'Test Library'!$A:$P,2,FALSE),"")</f>
        <v>Performance &amp; Reliability</v>
      </c>
      <c r="E419" s="14" t="str">
        <f>IFERROR(VLOOKUP($C419,'Test Library'!$A:$P,3,FALSE),"")</f>
        <v>Failure handling and resilience</v>
      </c>
      <c r="F419" s="14" t="str">
        <f>IFERROR(VLOOKUP($C419,'Test Library'!$A:$P,5,FALSE),"")</f>
        <v>Application container restarts during save</v>
      </c>
      <c r="G419" s="14" t="str">
        <f>IFERROR(VLOOKUP($C419,'Test Library'!$A:$P,6,FALSE),"")</f>
        <v>Critical</v>
      </c>
      <c r="H419" s="14" t="inlineStr">
        <is>
          <t xml:space="preserve">Staging</t>
        </is>
      </c>
      <c r="I419" s="14" t="inlineStr">
        <is>
          <t xml:space="preserve">Not Run</t>
        </is>
      </c>
      <c r="J419" s="14"/>
      <c r="K419" s="17"/>
      <c r="L419" s="14"/>
      <c r="M419" s="14"/>
      <c r="N419" s="14"/>
      <c r="O419" s="14" t="inlineStr">
        <is>
          <t xml:space="preserve">Not Required</t>
        </is>
      </c>
      <c r="P419" s="14" t="str">
        <f>IFERROR(VLOOKUP($C419,'Test Library'!$A:$P,14,FALSE),"")</f>
        <v>Yes</v>
      </c>
      <c r="Q419" s="14"/>
    </row>
    <row r="420">
      <c r="A420" s="14" t="inlineStr">
        <is>
          <t xml:space="preserve">BETARUN-0440</t>
        </is>
      </c>
      <c r="B420" s="14" t="inlineStr">
        <is>
          <t xml:space="preserve">Beta Release</t>
        </is>
      </c>
      <c r="C420" s="14" t="inlineStr">
        <is>
          <t xml:space="preserve">RR-0440</t>
        </is>
      </c>
      <c r="D420" s="14" t="str">
        <f>IFERROR(VLOOKUP($C420,'Test Library'!$A:$P,2,FALSE),"")</f>
        <v>Performance &amp; Reliability</v>
      </c>
      <c r="E420" s="14" t="str">
        <f>IFERROR(VLOOKUP($C420,'Test Library'!$A:$P,3,FALSE),"")</f>
        <v>Failure handling and resilience</v>
      </c>
      <c r="F420" s="14" t="str">
        <f>IFERROR(VLOOKUP($C420,'Test Library'!$A:$P,5,FALSE),"")</f>
        <v>Scheduled publication job runs twice</v>
      </c>
      <c r="G420" s="14" t="str">
        <f>IFERROR(VLOOKUP($C420,'Test Library'!$A:$P,6,FALSE),"")</f>
        <v>Critical</v>
      </c>
      <c r="H420" s="14" t="inlineStr">
        <is>
          <t xml:space="preserve">Staging</t>
        </is>
      </c>
      <c r="I420" s="14" t="inlineStr">
        <is>
          <t xml:space="preserve">Not Run</t>
        </is>
      </c>
      <c r="J420" s="14"/>
      <c r="K420" s="17"/>
      <c r="L420" s="14"/>
      <c r="M420" s="14"/>
      <c r="N420" s="14"/>
      <c r="O420" s="14" t="inlineStr">
        <is>
          <t xml:space="preserve">Not Required</t>
        </is>
      </c>
      <c r="P420" s="14" t="str">
        <f>IFERROR(VLOOKUP($C420,'Test Library'!$A:$P,14,FALSE),"")</f>
        <v>Yes</v>
      </c>
      <c r="Q420" s="14"/>
    </row>
    <row r="421">
      <c r="A421" s="14" t="inlineStr">
        <is>
          <t xml:space="preserve">BETARUN-0441</t>
        </is>
      </c>
      <c r="B421" s="14" t="inlineStr">
        <is>
          <t xml:space="preserve">Beta Release</t>
        </is>
      </c>
      <c r="C421" s="14" t="inlineStr">
        <is>
          <t xml:space="preserve">RR-0441</t>
        </is>
      </c>
      <c r="D421" s="14" t="str">
        <f>IFERROR(VLOOKUP($C421,'Test Library'!$A:$P,2,FALSE),"")</f>
        <v>Performance &amp; Reliability</v>
      </c>
      <c r="E421" s="14" t="str">
        <f>IFERROR(VLOOKUP($C421,'Test Library'!$A:$P,3,FALSE),"")</f>
        <v>Failure handling and resilience</v>
      </c>
      <c r="F421" s="14" t="str">
        <f>IFERROR(VLOOKUP($C421,'Test Library'!$A:$P,5,FALSE),"")</f>
        <v>Scheduled job is delayed</v>
      </c>
      <c r="G421" s="14" t="str">
        <f>IFERROR(VLOOKUP($C421,'Test Library'!$A:$P,6,FALSE),"")</f>
        <v>High</v>
      </c>
      <c r="H421" s="14" t="inlineStr">
        <is>
          <t xml:space="preserve">Staging</t>
        </is>
      </c>
      <c r="I421" s="14" t="inlineStr">
        <is>
          <t xml:space="preserve">Not Run</t>
        </is>
      </c>
      <c r="J421" s="14"/>
      <c r="K421" s="17"/>
      <c r="L421" s="14"/>
      <c r="M421" s="14"/>
      <c r="N421" s="14"/>
      <c r="O421" s="14" t="inlineStr">
        <is>
          <t xml:space="preserve">Not Required</t>
        </is>
      </c>
      <c r="P421" s="14" t="str">
        <f>IFERROR(VLOOKUP($C421,'Test Library'!$A:$P,14,FALSE),"")</f>
        <v>Yes</v>
      </c>
      <c r="Q421" s="14"/>
    </row>
    <row r="422">
      <c r="A422" s="14" t="inlineStr">
        <is>
          <t xml:space="preserve">BETARUN-0442</t>
        </is>
      </c>
      <c r="B422" s="14" t="inlineStr">
        <is>
          <t xml:space="preserve">Beta Release</t>
        </is>
      </c>
      <c r="C422" s="14" t="inlineStr">
        <is>
          <t xml:space="preserve">RR-0442</t>
        </is>
      </c>
      <c r="D422" s="14" t="str">
        <f>IFERROR(VLOOKUP($C422,'Test Library'!$A:$P,2,FALSE),"")</f>
        <v>Performance &amp; Reliability</v>
      </c>
      <c r="E422" s="14" t="str">
        <f>IFERROR(VLOOKUP($C422,'Test Library'!$A:$P,3,FALSE),"")</f>
        <v>Failure handling and resilience</v>
      </c>
      <c r="F422" s="14" t="str">
        <f>IFERROR(VLOOKUP($C422,'Test Library'!$A:$P,5,FALSE),"")</f>
        <v>Client receives malformed/unexpected API response</v>
      </c>
      <c r="G422" s="14" t="str">
        <f>IFERROR(VLOOKUP($C422,'Test Library'!$A:$P,6,FALSE),"")</f>
        <v>High</v>
      </c>
      <c r="H422" s="14" t="inlineStr">
        <is>
          <t xml:space="preserve">Staging</t>
        </is>
      </c>
      <c r="I422" s="14" t="inlineStr">
        <is>
          <t xml:space="preserve">Not Run</t>
        </is>
      </c>
      <c r="J422" s="14"/>
      <c r="K422" s="17"/>
      <c r="L422" s="14"/>
      <c r="M422" s="14"/>
      <c r="N422" s="14"/>
      <c r="O422" s="14" t="inlineStr">
        <is>
          <t xml:space="preserve">Not Required</t>
        </is>
      </c>
      <c r="P422" s="14" t="str">
        <f>IFERROR(VLOOKUP($C422,'Test Library'!$A:$P,14,FALSE),"")</f>
        <v>Yes</v>
      </c>
      <c r="Q422" s="14"/>
    </row>
    <row r="423">
      <c r="A423" s="14" t="inlineStr">
        <is>
          <t xml:space="preserve">BETARUN-0443</t>
        </is>
      </c>
      <c r="B423" s="14" t="inlineStr">
        <is>
          <t xml:space="preserve">Beta Release</t>
        </is>
      </c>
      <c r="C423" s="14" t="inlineStr">
        <is>
          <t xml:space="preserve">RR-0443</t>
        </is>
      </c>
      <c r="D423" s="14" t="str">
        <f>IFERROR(VLOOKUP($C423,'Test Library'!$A:$P,2,FALSE),"")</f>
        <v>Performance &amp; Reliability</v>
      </c>
      <c r="E423" s="14" t="str">
        <f>IFERROR(VLOOKUP($C423,'Test Library'!$A:$P,3,FALSE),"")</f>
        <v>Failure handling and resilience</v>
      </c>
      <c r="F423" s="14" t="str">
        <f>IFERROR(VLOOKUP($C423,'Test Library'!$A:$P,5,FALSE),"")</f>
        <v>Memory/CPU usage under sustained load</v>
      </c>
      <c r="G423" s="14" t="str">
        <f>IFERROR(VLOOKUP($C423,'Test Library'!$A:$P,6,FALSE),"")</f>
        <v>High</v>
      </c>
      <c r="H423" s="14" t="inlineStr">
        <is>
          <t xml:space="preserve">Staging</t>
        </is>
      </c>
      <c r="I423" s="14" t="inlineStr">
        <is>
          <t xml:space="preserve">Not Run</t>
        </is>
      </c>
      <c r="J423" s="14"/>
      <c r="K423" s="17"/>
      <c r="L423" s="14"/>
      <c r="M423" s="14"/>
      <c r="N423" s="14"/>
      <c r="O423" s="14" t="inlineStr">
        <is>
          <t xml:space="preserve">Not Required</t>
        </is>
      </c>
      <c r="P423" s="14" t="str">
        <f>IFERROR(VLOOKUP($C423,'Test Library'!$A:$P,14,FALSE),"")</f>
        <v>Yes</v>
      </c>
      <c r="Q423" s="14"/>
    </row>
    <row r="424">
      <c r="A424" s="14" t="inlineStr">
        <is>
          <t xml:space="preserve">BETARUN-0444</t>
        </is>
      </c>
      <c r="B424" s="14" t="inlineStr">
        <is>
          <t xml:space="preserve">Beta Release</t>
        </is>
      </c>
      <c r="C424" s="14" t="inlineStr">
        <is>
          <t xml:space="preserve">RR-0444</t>
        </is>
      </c>
      <c r="D424" s="14" t="str">
        <f>IFERROR(VLOOKUP($C424,'Test Library'!$A:$P,2,FALSE),"")</f>
        <v>Performance &amp; Reliability</v>
      </c>
      <c r="E424" s="14" t="str">
        <f>IFERROR(VLOOKUP($C424,'Test Library'!$A:$P,3,FALSE),"")</f>
        <v>Failure handling and resilience</v>
      </c>
      <c r="F424" s="14" t="str">
        <f>IFERROR(VLOOKUP($C424,'Test Library'!$A:$P,5,FALSE),"")</f>
        <v>Log correlation across frontend/server/jobs</v>
      </c>
      <c r="G424" s="14" t="str">
        <f>IFERROR(VLOOKUP($C424,'Test Library'!$A:$P,6,FALSE),"")</f>
        <v>Medium</v>
      </c>
      <c r="H424" s="14" t="inlineStr">
        <is>
          <t xml:space="preserve">Staging</t>
        </is>
      </c>
      <c r="I424" s="14" t="inlineStr">
        <is>
          <t xml:space="preserve">Not Run</t>
        </is>
      </c>
      <c r="J424" s="14"/>
      <c r="K424" s="17"/>
      <c r="L424" s="14"/>
      <c r="M424" s="14"/>
      <c r="N424" s="14"/>
      <c r="O424" s="14" t="inlineStr">
        <is>
          <t xml:space="preserve">Not Required</t>
        </is>
      </c>
      <c r="P424" s="14" t="str">
        <f>IFERROR(VLOOKUP($C424,'Test Library'!$A:$P,14,FALSE),"")</f>
        <v>No</v>
      </c>
      <c r="Q424" s="14"/>
    </row>
    <row r="425">
      <c r="A425" s="14" t="inlineStr">
        <is>
          <t xml:space="preserve">BETARUN-0445</t>
        </is>
      </c>
      <c r="B425" s="14" t="inlineStr">
        <is>
          <t xml:space="preserve">Beta Release</t>
        </is>
      </c>
      <c r="C425" s="14" t="inlineStr">
        <is>
          <t xml:space="preserve">RR-0445</t>
        </is>
      </c>
      <c r="D425" s="14" t="str">
        <f>IFERROR(VLOOKUP($C425,'Test Library'!$A:$P,2,FALSE),"")</f>
        <v>Deployment, Domains &amp; Monitoring</v>
      </c>
      <c r="E425" s="14" t="str">
        <f>IFERROR(VLOOKUP($C425,'Test Library'!$A:$P,3,FALSE),"")</f>
        <v>Production deployment</v>
      </c>
      <c r="F425" s="14" t="str">
        <f>IFERROR(VLOOKUP($C425,'Test Library'!$A:$P,5,FALSE),"")</f>
        <v>Deploy current build through Coolify</v>
      </c>
      <c r="G425" s="14" t="str">
        <f>IFERROR(VLOOKUP($C425,'Test Library'!$A:$P,6,FALSE),"")</f>
        <v>Critical</v>
      </c>
      <c r="H425" s="14" t="inlineStr">
        <is>
          <t xml:space="preserve">Staging</t>
        </is>
      </c>
      <c r="I425" s="14" t="inlineStr">
        <is>
          <t xml:space="preserve">Not Run</t>
        </is>
      </c>
      <c r="J425" s="14"/>
      <c r="K425" s="17"/>
      <c r="L425" s="14"/>
      <c r="M425" s="14"/>
      <c r="N425" s="14"/>
      <c r="O425" s="14" t="inlineStr">
        <is>
          <t xml:space="preserve">Not Required</t>
        </is>
      </c>
      <c r="P425" s="14" t="str">
        <f>IFERROR(VLOOKUP($C425,'Test Library'!$A:$P,14,FALSE),"")</f>
        <v>Yes</v>
      </c>
      <c r="Q425" s="14"/>
    </row>
    <row r="426">
      <c r="A426" s="14" t="inlineStr">
        <is>
          <t xml:space="preserve">BETARUN-0446</t>
        </is>
      </c>
      <c r="B426" s="14" t="inlineStr">
        <is>
          <t xml:space="preserve">Beta Release</t>
        </is>
      </c>
      <c r="C426" s="14" t="inlineStr">
        <is>
          <t xml:space="preserve">RR-0446</t>
        </is>
      </c>
      <c r="D426" s="14" t="str">
        <f>IFERROR(VLOOKUP($C426,'Test Library'!$A:$P,2,FALSE),"")</f>
        <v>Deployment, Domains &amp; Monitoring</v>
      </c>
      <c r="E426" s="14" t="str">
        <f>IFERROR(VLOOKUP($C426,'Test Library'!$A:$P,3,FALSE),"")</f>
        <v>Production deployment</v>
      </c>
      <c r="F426" s="14" t="str">
        <f>IFERROR(VLOOKUP($C426,'Test Library'!$A:$P,5,FALSE),"")</f>
        <v>Open rocketrota.com over HTTPS</v>
      </c>
      <c r="G426" s="14" t="str">
        <f>IFERROR(VLOOKUP($C426,'Test Library'!$A:$P,6,FALSE),"")</f>
        <v>Critical</v>
      </c>
      <c r="H426" s="14" t="inlineStr">
        <is>
          <t xml:space="preserve">Staging</t>
        </is>
      </c>
      <c r="I426" s="14" t="inlineStr">
        <is>
          <t xml:space="preserve">Not Run</t>
        </is>
      </c>
      <c r="J426" s="14"/>
      <c r="K426" s="17"/>
      <c r="L426" s="14"/>
      <c r="M426" s="14"/>
      <c r="N426" s="14"/>
      <c r="O426" s="14" t="inlineStr">
        <is>
          <t xml:space="preserve">Not Required</t>
        </is>
      </c>
      <c r="P426" s="14" t="str">
        <f>IFERROR(VLOOKUP($C426,'Test Library'!$A:$P,14,FALSE),"")</f>
        <v>Yes</v>
      </c>
      <c r="Q426" s="14"/>
    </row>
    <row r="427">
      <c r="A427" s="14" t="inlineStr">
        <is>
          <t xml:space="preserve">BETARUN-0447</t>
        </is>
      </c>
      <c r="B427" s="14" t="inlineStr">
        <is>
          <t xml:space="preserve">Beta Release</t>
        </is>
      </c>
      <c r="C427" s="14" t="inlineStr">
        <is>
          <t xml:space="preserve">RR-0447</t>
        </is>
      </c>
      <c r="D427" s="14" t="str">
        <f>IFERROR(VLOOKUP($C427,'Test Library'!$A:$P,2,FALSE),"")</f>
        <v>Deployment, Domains &amp; Monitoring</v>
      </c>
      <c r="E427" s="14" t="str">
        <f>IFERROR(VLOOKUP($C427,'Test Library'!$A:$P,3,FALSE),"")</f>
        <v>Production deployment</v>
      </c>
      <c r="F427" s="14" t="str">
        <f>IFERROR(VLOOKUP($C427,'Test Library'!$A:$P,5,FALSE),"")</f>
        <v>Open app/admin/dev subdomains as configured</v>
      </c>
      <c r="G427" s="14" t="str">
        <f>IFERROR(VLOOKUP($C427,'Test Library'!$A:$P,6,FALSE),"")</f>
        <v>Critical</v>
      </c>
      <c r="H427" s="14" t="inlineStr">
        <is>
          <t xml:space="preserve">Staging</t>
        </is>
      </c>
      <c r="I427" s="14" t="inlineStr">
        <is>
          <t xml:space="preserve">Not Run</t>
        </is>
      </c>
      <c r="J427" s="14"/>
      <c r="K427" s="17"/>
      <c r="L427" s="14"/>
      <c r="M427" s="14"/>
      <c r="N427" s="14"/>
      <c r="O427" s="14" t="inlineStr">
        <is>
          <t xml:space="preserve">Not Required</t>
        </is>
      </c>
      <c r="P427" s="14" t="str">
        <f>IFERROR(VLOOKUP($C427,'Test Library'!$A:$P,14,FALSE),"")</f>
        <v>Yes</v>
      </c>
      <c r="Q427" s="14"/>
    </row>
    <row r="428">
      <c r="A428" s="14" t="inlineStr">
        <is>
          <t xml:space="preserve">BETARUN-0448</t>
        </is>
      </c>
      <c r="B428" s="14" t="inlineStr">
        <is>
          <t xml:space="preserve">Beta Release</t>
        </is>
      </c>
      <c r="C428" s="14" t="inlineStr">
        <is>
          <t xml:space="preserve">RR-0448</t>
        </is>
      </c>
      <c r="D428" s="14" t="str">
        <f>IFERROR(VLOOKUP($C428,'Test Library'!$A:$P,2,FALSE),"")</f>
        <v>Deployment, Domains &amp; Monitoring</v>
      </c>
      <c r="E428" s="14" t="str">
        <f>IFERROR(VLOOKUP($C428,'Test Library'!$A:$P,3,FALSE),"")</f>
        <v>Production deployment</v>
      </c>
      <c r="F428" s="14" t="str">
        <f>IFERROR(VLOOKUP($C428,'Test Library'!$A:$P,5,FALSE),"")</f>
        <v>Open /clock from an external NFC tap</v>
      </c>
      <c r="G428" s="14" t="str">
        <f>IFERROR(VLOOKUP($C428,'Test Library'!$A:$P,6,FALSE),"")</f>
        <v>Critical</v>
      </c>
      <c r="H428" s="14" t="inlineStr">
        <is>
          <t xml:space="preserve">Staging</t>
        </is>
      </c>
      <c r="I428" s="14" t="inlineStr">
        <is>
          <t xml:space="preserve">Not Run</t>
        </is>
      </c>
      <c r="J428" s="14"/>
      <c r="K428" s="17"/>
      <c r="L428" s="14"/>
      <c r="M428" s="14"/>
      <c r="N428" s="14"/>
      <c r="O428" s="14" t="inlineStr">
        <is>
          <t xml:space="preserve">Not Required</t>
        </is>
      </c>
      <c r="P428" s="14" t="str">
        <f>IFERROR(VLOOKUP($C428,'Test Library'!$A:$P,14,FALSE),"")</f>
        <v>Yes</v>
      </c>
      <c r="Q428" s="14"/>
    </row>
    <row r="429">
      <c r="A429" s="14" t="inlineStr">
        <is>
          <t xml:space="preserve">BETARUN-0449</t>
        </is>
      </c>
      <c r="B429" s="14" t="inlineStr">
        <is>
          <t xml:space="preserve">Beta Release</t>
        </is>
      </c>
      <c r="C429" s="14" t="inlineStr">
        <is>
          <t xml:space="preserve">RR-0449</t>
        </is>
      </c>
      <c r="D429" s="14" t="str">
        <f>IFERROR(VLOOKUP($C429,'Test Library'!$A:$P,2,FALSE),"")</f>
        <v>Deployment, Domains &amp; Monitoring</v>
      </c>
      <c r="E429" s="14" t="str">
        <f>IFERROR(VLOOKUP($C429,'Test Library'!$A:$P,3,FALSE),"")</f>
        <v>Production deployment</v>
      </c>
      <c r="F429" s="14" t="str">
        <f>IFERROR(VLOOKUP($C429,'Test Library'!$A:$P,5,FALSE),"")</f>
        <v>PWA assets and manifest use production URLs</v>
      </c>
      <c r="G429" s="14" t="str">
        <f>IFERROR(VLOOKUP($C429,'Test Library'!$A:$P,6,FALSE),"")</f>
        <v>Critical</v>
      </c>
      <c r="H429" s="14" t="inlineStr">
        <is>
          <t xml:space="preserve">Staging</t>
        </is>
      </c>
      <c r="I429" s="14" t="inlineStr">
        <is>
          <t xml:space="preserve">Not Run</t>
        </is>
      </c>
      <c r="J429" s="14"/>
      <c r="K429" s="17"/>
      <c r="L429" s="14"/>
      <c r="M429" s="14"/>
      <c r="N429" s="14"/>
      <c r="O429" s="14" t="inlineStr">
        <is>
          <t xml:space="preserve">Not Required</t>
        </is>
      </c>
      <c r="P429" s="14" t="str">
        <f>IFERROR(VLOOKUP($C429,'Test Library'!$A:$P,14,FALSE),"")</f>
        <v>Yes</v>
      </c>
      <c r="Q429" s="14"/>
    </row>
    <row r="430">
      <c r="A430" s="14" t="inlineStr">
        <is>
          <t xml:space="preserve">BETARUN-0450</t>
        </is>
      </c>
      <c r="B430" s="14" t="inlineStr">
        <is>
          <t xml:space="preserve">Beta Release</t>
        </is>
      </c>
      <c r="C430" s="14" t="inlineStr">
        <is>
          <t xml:space="preserve">RR-0450</t>
        </is>
      </c>
      <c r="D430" s="14" t="str">
        <f>IFERROR(VLOOKUP($C430,'Test Library'!$A:$P,2,FALSE),"")</f>
        <v>Deployment, Domains &amp; Monitoring</v>
      </c>
      <c r="E430" s="14" t="str">
        <f>IFERROR(VLOOKUP($C430,'Test Library'!$A:$P,3,FALSE),"")</f>
        <v>Production deployment</v>
      </c>
      <c r="F430" s="14" t="str">
        <f>IFERROR(VLOOKUP($C430,'Test Library'!$A:$P,5,FALSE),"")</f>
        <v>Supabase/database DNS temporarily fails</v>
      </c>
      <c r="G430" s="14" t="str">
        <f>IFERROR(VLOOKUP($C430,'Test Library'!$A:$P,6,FALSE),"")</f>
        <v>Critical</v>
      </c>
      <c r="H430" s="14" t="inlineStr">
        <is>
          <t xml:space="preserve">Staging</t>
        </is>
      </c>
      <c r="I430" s="14" t="inlineStr">
        <is>
          <t xml:space="preserve">Not Run</t>
        </is>
      </c>
      <c r="J430" s="14"/>
      <c r="K430" s="17"/>
      <c r="L430" s="14"/>
      <c r="M430" s="14"/>
      <c r="N430" s="14"/>
      <c r="O430" s="14" t="inlineStr">
        <is>
          <t xml:space="preserve">Not Required</t>
        </is>
      </c>
      <c r="P430" s="14" t="str">
        <f>IFERROR(VLOOKUP($C430,'Test Library'!$A:$P,14,FALSE),"")</f>
        <v>Yes</v>
      </c>
      <c r="Q430" s="14"/>
    </row>
    <row r="431">
      <c r="A431" s="14" t="inlineStr">
        <is>
          <t xml:space="preserve">BETARUN-0451</t>
        </is>
      </c>
      <c r="B431" s="14" t="inlineStr">
        <is>
          <t xml:space="preserve">Beta Release</t>
        </is>
      </c>
      <c r="C431" s="14" t="inlineStr">
        <is>
          <t xml:space="preserve">RR-0451</t>
        </is>
      </c>
      <c r="D431" s="14" t="str">
        <f>IFERROR(VLOOKUP($C431,'Test Library'!$A:$P,2,FALSE),"")</f>
        <v>Deployment, Domains &amp; Monitoring</v>
      </c>
      <c r="E431" s="14" t="str">
        <f>IFERROR(VLOOKUP($C431,'Test Library'!$A:$P,3,FALSE),"")</f>
        <v>Production deployment</v>
      </c>
      <c r="F431" s="14" t="str">
        <f>IFERROR(VLOOKUP($C431,'Test Library'!$A:$P,5,FALSE),"")</f>
        <v>Environment variable is missing</v>
      </c>
      <c r="G431" s="14" t="str">
        <f>IFERROR(VLOOKUP($C431,'Test Library'!$A:$P,6,FALSE),"")</f>
        <v>Critical</v>
      </c>
      <c r="H431" s="14" t="inlineStr">
        <is>
          <t xml:space="preserve">Staging</t>
        </is>
      </c>
      <c r="I431" s="14" t="inlineStr">
        <is>
          <t xml:space="preserve">Not Run</t>
        </is>
      </c>
      <c r="J431" s="14"/>
      <c r="K431" s="17"/>
      <c r="L431" s="14"/>
      <c r="M431" s="14"/>
      <c r="N431" s="14"/>
      <c r="O431" s="14" t="inlineStr">
        <is>
          <t xml:space="preserve">Not Required</t>
        </is>
      </c>
      <c r="P431" s="14" t="str">
        <f>IFERROR(VLOOKUP($C431,'Test Library'!$A:$P,14,FALSE),"")</f>
        <v>Yes</v>
      </c>
      <c r="Q431" s="14"/>
    </row>
    <row r="432">
      <c r="A432" s="14" t="inlineStr">
        <is>
          <t xml:space="preserve">BETARUN-0452</t>
        </is>
      </c>
      <c r="B432" s="14" t="inlineStr">
        <is>
          <t xml:space="preserve">Beta Release</t>
        </is>
      </c>
      <c r="C432" s="14" t="inlineStr">
        <is>
          <t xml:space="preserve">RR-0452</t>
        </is>
      </c>
      <c r="D432" s="14" t="str">
        <f>IFERROR(VLOOKUP($C432,'Test Library'!$A:$P,2,FALSE),"")</f>
        <v>Deployment, Domains &amp; Monitoring</v>
      </c>
      <c r="E432" s="14" t="str">
        <f>IFERROR(VLOOKUP($C432,'Test Library'!$A:$P,3,FALSE),"")</f>
        <v>Production deployment</v>
      </c>
      <c r="F432" s="14" t="str">
        <f>IFERROR(VLOOKUP($C432,'Test Library'!$A:$P,5,FALSE),"")</f>
        <v>Run database migration</v>
      </c>
      <c r="G432" s="14" t="str">
        <f>IFERROR(VLOOKUP($C432,'Test Library'!$A:$P,6,FALSE),"")</f>
        <v>Critical</v>
      </c>
      <c r="H432" s="14" t="inlineStr">
        <is>
          <t xml:space="preserve">Staging</t>
        </is>
      </c>
      <c r="I432" s="14" t="inlineStr">
        <is>
          <t xml:space="preserve">Not Run</t>
        </is>
      </c>
      <c r="J432" s="14"/>
      <c r="K432" s="17"/>
      <c r="L432" s="14"/>
      <c r="M432" s="14"/>
      <c r="N432" s="14"/>
      <c r="O432" s="14" t="inlineStr">
        <is>
          <t xml:space="preserve">Not Required</t>
        </is>
      </c>
      <c r="P432" s="14" t="str">
        <f>IFERROR(VLOOKUP($C432,'Test Library'!$A:$P,14,FALSE),"")</f>
        <v>Yes</v>
      </c>
      <c r="Q432" s="14"/>
    </row>
    <row r="433">
      <c r="A433" s="14" t="inlineStr">
        <is>
          <t xml:space="preserve">BETARUN-0453</t>
        </is>
      </c>
      <c r="B433" s="14" t="inlineStr">
        <is>
          <t xml:space="preserve">Beta Release</t>
        </is>
      </c>
      <c r="C433" s="14" t="inlineStr">
        <is>
          <t xml:space="preserve">RR-0453</t>
        </is>
      </c>
      <c r="D433" s="14" t="str">
        <f>IFERROR(VLOOKUP($C433,'Test Library'!$A:$P,2,FALSE),"")</f>
        <v>Deployment, Domains &amp; Monitoring</v>
      </c>
      <c r="E433" s="14" t="str">
        <f>IFERROR(VLOOKUP($C433,'Test Library'!$A:$P,3,FALSE),"")</f>
        <v>Production deployment</v>
      </c>
      <c r="F433" s="14" t="str">
        <f>IFERROR(VLOOKUP($C433,'Test Library'!$A:$P,5,FALSE),"")</f>
        <v>Deploy while users are active</v>
      </c>
      <c r="G433" s="14" t="str">
        <f>IFERROR(VLOOKUP($C433,'Test Library'!$A:$P,6,FALSE),"")</f>
        <v>High</v>
      </c>
      <c r="H433" s="14" t="inlineStr">
        <is>
          <t xml:space="preserve">Staging</t>
        </is>
      </c>
      <c r="I433" s="14" t="inlineStr">
        <is>
          <t xml:space="preserve">Not Run</t>
        </is>
      </c>
      <c r="J433" s="14"/>
      <c r="K433" s="17"/>
      <c r="L433" s="14"/>
      <c r="M433" s="14"/>
      <c r="N433" s="14"/>
      <c r="O433" s="14" t="inlineStr">
        <is>
          <t xml:space="preserve">Not Required</t>
        </is>
      </c>
      <c r="P433" s="14" t="str">
        <f>IFERROR(VLOOKUP($C433,'Test Library'!$A:$P,14,FALSE),"")</f>
        <v>Yes</v>
      </c>
      <c r="Q433" s="14"/>
    </row>
    <row r="434">
      <c r="A434" s="14" t="inlineStr">
        <is>
          <t xml:space="preserve">BETARUN-0454</t>
        </is>
      </c>
      <c r="B434" s="14" t="inlineStr">
        <is>
          <t xml:space="preserve">Beta Release</t>
        </is>
      </c>
      <c r="C434" s="14" t="inlineStr">
        <is>
          <t xml:space="preserve">RR-0454</t>
        </is>
      </c>
      <c r="D434" s="14" t="str">
        <f>IFERROR(VLOOKUP($C434,'Test Library'!$A:$P,2,FALSE),"")</f>
        <v>Deployment, Domains &amp; Monitoring</v>
      </c>
      <c r="E434" s="14" t="str">
        <f>IFERROR(VLOOKUP($C434,'Test Library'!$A:$P,3,FALSE),"")</f>
        <v>Observability and operations</v>
      </c>
      <c r="F434" s="14" t="str">
        <f>IFERROR(VLOOKUP($C434,'Test Library'!$A:$P,5,FALSE),"")</f>
        <v>Trigger a controlled server error</v>
      </c>
      <c r="G434" s="14" t="str">
        <f>IFERROR(VLOOKUP($C434,'Test Library'!$A:$P,6,FALSE),"")</f>
        <v>Critical</v>
      </c>
      <c r="H434" s="14" t="inlineStr">
        <is>
          <t xml:space="preserve">Staging</t>
        </is>
      </c>
      <c r="I434" s="14" t="inlineStr">
        <is>
          <t xml:space="preserve">Not Run</t>
        </is>
      </c>
      <c r="J434" s="14"/>
      <c r="K434" s="17"/>
      <c r="L434" s="14"/>
      <c r="M434" s="14"/>
      <c r="N434" s="14"/>
      <c r="O434" s="14" t="inlineStr">
        <is>
          <t xml:space="preserve">Not Required</t>
        </is>
      </c>
      <c r="P434" s="14" t="str">
        <f>IFERROR(VLOOKUP($C434,'Test Library'!$A:$P,14,FALSE),"")</f>
        <v>Yes</v>
      </c>
      <c r="Q434" s="14"/>
    </row>
    <row r="435">
      <c r="A435" s="14" t="inlineStr">
        <is>
          <t xml:space="preserve">BETARUN-0455</t>
        </is>
      </c>
      <c r="B435" s="14" t="inlineStr">
        <is>
          <t xml:space="preserve">Beta Release</t>
        </is>
      </c>
      <c r="C435" s="14" t="inlineStr">
        <is>
          <t xml:space="preserve">RR-0455</t>
        </is>
      </c>
      <c r="D435" s="14" t="str">
        <f>IFERROR(VLOOKUP($C435,'Test Library'!$A:$P,2,FALSE),"")</f>
        <v>Deployment, Domains &amp; Monitoring</v>
      </c>
      <c r="E435" s="14" t="str">
        <f>IFERROR(VLOOKUP($C435,'Test Library'!$A:$P,3,FALSE),"")</f>
        <v>Observability and operations</v>
      </c>
      <c r="F435" s="14" t="str">
        <f>IFERROR(VLOOKUP($C435,'Test Library'!$A:$P,5,FALSE),"")</f>
        <v>Health check detects unhealthy app</v>
      </c>
      <c r="G435" s="14" t="str">
        <f>IFERROR(VLOOKUP($C435,'Test Library'!$A:$P,6,FALSE),"")</f>
        <v>Critical</v>
      </c>
      <c r="H435" s="14" t="inlineStr">
        <is>
          <t xml:space="preserve">Staging</t>
        </is>
      </c>
      <c r="I435" s="14" t="inlineStr">
        <is>
          <t xml:space="preserve">Not Run</t>
        </is>
      </c>
      <c r="J435" s="14"/>
      <c r="K435" s="17"/>
      <c r="L435" s="14"/>
      <c r="M435" s="14"/>
      <c r="N435" s="14"/>
      <c r="O435" s="14" t="inlineStr">
        <is>
          <t xml:space="preserve">Not Required</t>
        </is>
      </c>
      <c r="P435" s="14" t="str">
        <f>IFERROR(VLOOKUP($C435,'Test Library'!$A:$P,14,FALSE),"")</f>
        <v>Yes</v>
      </c>
      <c r="Q435" s="14"/>
    </row>
    <row r="436">
      <c r="A436" s="14" t="inlineStr">
        <is>
          <t xml:space="preserve">BETARUN-0456</t>
        </is>
      </c>
      <c r="B436" s="14" t="inlineStr">
        <is>
          <t xml:space="preserve">Beta Release</t>
        </is>
      </c>
      <c r="C436" s="14" t="inlineStr">
        <is>
          <t xml:space="preserve">RR-0456</t>
        </is>
      </c>
      <c r="D436" s="14" t="str">
        <f>IFERROR(VLOOKUP($C436,'Test Library'!$A:$P,2,FALSE),"")</f>
        <v>Deployment, Domains &amp; Monitoring</v>
      </c>
      <c r="E436" s="14" t="str">
        <f>IFERROR(VLOOKUP($C436,'Test Library'!$A:$P,3,FALSE),"")</f>
        <v>Observability and operations</v>
      </c>
      <c r="F436" s="14" t="str">
        <f>IFERROR(VLOOKUP($C436,'Test Library'!$A:$P,5,FALSE),"")</f>
        <v>Certificate approaches expiry</v>
      </c>
      <c r="G436" s="14" t="str">
        <f>IFERROR(VLOOKUP($C436,'Test Library'!$A:$P,6,FALSE),"")</f>
        <v>High</v>
      </c>
      <c r="H436" s="14" t="inlineStr">
        <is>
          <t xml:space="preserve">Staging</t>
        </is>
      </c>
      <c r="I436" s="14" t="inlineStr">
        <is>
          <t xml:space="preserve">Not Run</t>
        </is>
      </c>
      <c r="J436" s="14"/>
      <c r="K436" s="17"/>
      <c r="L436" s="14"/>
      <c r="M436" s="14"/>
      <c r="N436" s="14"/>
      <c r="O436" s="14" t="inlineStr">
        <is>
          <t xml:space="preserve">Not Required</t>
        </is>
      </c>
      <c r="P436" s="14" t="str">
        <f>IFERROR(VLOOKUP($C436,'Test Library'!$A:$P,14,FALSE),"")</f>
        <v>Yes</v>
      </c>
      <c r="Q436" s="14"/>
    </row>
    <row r="437">
      <c r="A437" s="14" t="inlineStr">
        <is>
          <t xml:space="preserve">BETARUN-0457</t>
        </is>
      </c>
      <c r="B437" s="14" t="inlineStr">
        <is>
          <t xml:space="preserve">Beta Release</t>
        </is>
      </c>
      <c r="C437" s="14" t="inlineStr">
        <is>
          <t xml:space="preserve">RR-0457</t>
        </is>
      </c>
      <c r="D437" s="14" t="str">
        <f>IFERROR(VLOOKUP($C437,'Test Library'!$A:$P,2,FALSE),"")</f>
        <v>Deployment, Domains &amp; Monitoring</v>
      </c>
      <c r="E437" s="14" t="str">
        <f>IFERROR(VLOOKUP($C437,'Test Library'!$A:$P,3,FALSE),"")</f>
        <v>Observability and operations</v>
      </c>
      <c r="F437" s="14" t="str">
        <f>IFERROR(VLOOKUP($C437,'Test Library'!$A:$P,5,FALSE),"")</f>
        <v>Backup job fails</v>
      </c>
      <c r="G437" s="14" t="str">
        <f>IFERROR(VLOOKUP($C437,'Test Library'!$A:$P,6,FALSE),"")</f>
        <v>Critical</v>
      </c>
      <c r="H437" s="14" t="inlineStr">
        <is>
          <t xml:space="preserve">Staging</t>
        </is>
      </c>
      <c r="I437" s="14" t="inlineStr">
        <is>
          <t xml:space="preserve">Not Run</t>
        </is>
      </c>
      <c r="J437" s="14"/>
      <c r="K437" s="17"/>
      <c r="L437" s="14"/>
      <c r="M437" s="14"/>
      <c r="N437" s="14"/>
      <c r="O437" s="14" t="inlineStr">
        <is>
          <t xml:space="preserve">Not Required</t>
        </is>
      </c>
      <c r="P437" s="14" t="str">
        <f>IFERROR(VLOOKUP($C437,'Test Library'!$A:$P,14,FALSE),"")</f>
        <v>Yes</v>
      </c>
      <c r="Q437" s="14"/>
    </row>
    <row r="438">
      <c r="A438" s="14" t="inlineStr">
        <is>
          <t xml:space="preserve">BETARUN-0458</t>
        </is>
      </c>
      <c r="B438" s="14" t="inlineStr">
        <is>
          <t xml:space="preserve">Beta Release</t>
        </is>
      </c>
      <c r="C438" s="14" t="inlineStr">
        <is>
          <t xml:space="preserve">RR-0458</t>
        </is>
      </c>
      <c r="D438" s="14" t="str">
        <f>IFERROR(VLOOKUP($C438,'Test Library'!$A:$P,2,FALSE),"")</f>
        <v>Deployment, Domains &amp; Monitoring</v>
      </c>
      <c r="E438" s="14" t="str">
        <f>IFERROR(VLOOKUP($C438,'Test Library'!$A:$P,3,FALSE),"")</f>
        <v>Observability and operations</v>
      </c>
      <c r="F438" s="14" t="str">
        <f>IFERROR(VLOOKUP($C438,'Test Library'!$A:$P,5,FALSE),"")</f>
        <v>Clock-in validation failure rate spikes</v>
      </c>
      <c r="G438" s="14" t="str">
        <f>IFERROR(VLOOKUP($C438,'Test Library'!$A:$P,6,FALSE),"")</f>
        <v>High</v>
      </c>
      <c r="H438" s="14" t="inlineStr">
        <is>
          <t xml:space="preserve">Staging</t>
        </is>
      </c>
      <c r="I438" s="14" t="inlineStr">
        <is>
          <t xml:space="preserve">Not Run</t>
        </is>
      </c>
      <c r="J438" s="14"/>
      <c r="K438" s="17"/>
      <c r="L438" s="14"/>
      <c r="M438" s="14"/>
      <c r="N438" s="14"/>
      <c r="O438" s="14" t="inlineStr">
        <is>
          <t xml:space="preserve">Not Required</t>
        </is>
      </c>
      <c r="P438" s="14" t="str">
        <f>IFERROR(VLOOKUP($C438,'Test Library'!$A:$P,14,FALSE),"")</f>
        <v>Yes</v>
      </c>
      <c r="Q438" s="14"/>
    </row>
    <row r="439">
      <c r="A439" s="14" t="inlineStr">
        <is>
          <t xml:space="preserve">BETARUN-0459</t>
        </is>
      </c>
      <c r="B439" s="14" t="inlineStr">
        <is>
          <t xml:space="preserve">Beta Release</t>
        </is>
      </c>
      <c r="C439" s="14" t="inlineStr">
        <is>
          <t xml:space="preserve">RR-0459</t>
        </is>
      </c>
      <c r="D439" s="14" t="str">
        <f>IFERROR(VLOOKUP($C439,'Test Library'!$A:$P,2,FALSE),"")</f>
        <v>Deployment, Domains &amp; Monitoring</v>
      </c>
      <c r="E439" s="14" t="str">
        <f>IFERROR(VLOOKUP($C439,'Test Library'!$A:$P,3,FALSE),"")</f>
        <v>Observability and operations</v>
      </c>
      <c r="F439" s="14" t="str">
        <f>IFERROR(VLOOKUP($C439,'Test Library'!$A:$P,5,FALSE),"")</f>
        <v>Payment failure/webhook backlog grows</v>
      </c>
      <c r="G439" s="14" t="str">
        <f>IFERROR(VLOOKUP($C439,'Test Library'!$A:$P,6,FALSE),"")</f>
        <v>High</v>
      </c>
      <c r="H439" s="14" t="inlineStr">
        <is>
          <t xml:space="preserve">Staging</t>
        </is>
      </c>
      <c r="I439" s="14" t="inlineStr">
        <is>
          <t xml:space="preserve">Not Run</t>
        </is>
      </c>
      <c r="J439" s="14"/>
      <c r="K439" s="17"/>
      <c r="L439" s="14"/>
      <c r="M439" s="14"/>
      <c r="N439" s="14"/>
      <c r="O439" s="14" t="inlineStr">
        <is>
          <t xml:space="preserve">Not Required</t>
        </is>
      </c>
      <c r="P439" s="14" t="str">
        <f>IFERROR(VLOOKUP($C439,'Test Library'!$A:$P,14,FALSE),"")</f>
        <v>Yes</v>
      </c>
      <c r="Q439" s="14"/>
    </row>
    <row r="440">
      <c r="A440" s="14" t="inlineStr">
        <is>
          <t xml:space="preserve">BETARUN-0460</t>
        </is>
      </c>
      <c r="B440" s="14" t="inlineStr">
        <is>
          <t xml:space="preserve">Beta Release</t>
        </is>
      </c>
      <c r="C440" s="14" t="inlineStr">
        <is>
          <t xml:space="preserve">RR-0460</t>
        </is>
      </c>
      <c r="D440" s="14" t="str">
        <f>IFERROR(VLOOKUP($C440,'Test Library'!$A:$P,2,FALSE),"")</f>
        <v>Deployment, Domains &amp; Monitoring</v>
      </c>
      <c r="E440" s="14" t="str">
        <f>IFERROR(VLOOKUP($C440,'Test Library'!$A:$P,3,FALSE),"")</f>
        <v>Observability and operations</v>
      </c>
      <c r="F440" s="14" t="str">
        <f>IFERROR(VLOOKUP($C440,'Test Library'!$A:$P,5,FALSE),"")</f>
        <v>Review production logs</v>
      </c>
      <c r="G440" s="14" t="str">
        <f>IFERROR(VLOOKUP($C440,'Test Library'!$A:$P,6,FALSE),"")</f>
        <v>High</v>
      </c>
      <c r="H440" s="14" t="inlineStr">
        <is>
          <t xml:space="preserve">Staging</t>
        </is>
      </c>
      <c r="I440" s="14" t="inlineStr">
        <is>
          <t xml:space="preserve">Not Run</t>
        </is>
      </c>
      <c r="J440" s="14"/>
      <c r="K440" s="17"/>
      <c r="L440" s="14"/>
      <c r="M440" s="14"/>
      <c r="N440" s="14"/>
      <c r="O440" s="14" t="inlineStr">
        <is>
          <t xml:space="preserve">Not Required</t>
        </is>
      </c>
      <c r="P440" s="14" t="str">
        <f>IFERROR(VLOOKUP($C440,'Test Library'!$A:$P,14,FALSE),"")</f>
        <v>Yes</v>
      </c>
      <c r="Q440" s="14"/>
    </row>
    <row r="441">
      <c r="A441" s="14" t="inlineStr">
        <is>
          <t xml:space="preserve">BETARUN-0461</t>
        </is>
      </c>
      <c r="B441" s="14" t="inlineStr">
        <is>
          <t xml:space="preserve">Beta Release</t>
        </is>
      </c>
      <c r="C441" s="14" t="inlineStr">
        <is>
          <t xml:space="preserve">RR-0461</t>
        </is>
      </c>
      <c r="D441" s="14" t="str">
        <f>IFERROR(VLOOKUP($C441,'Test Library'!$A:$P,2,FALSE),"")</f>
        <v>Data Lifecycle &amp; Recovery</v>
      </c>
      <c r="E441" s="14" t="str">
        <f>IFERROR(VLOOKUP($C441,'Test Library'!$A:$P,3,FALSE),"")</f>
        <v>Retention, deletion and export</v>
      </c>
      <c r="F441" s="14" t="str">
        <f>IFERROR(VLOOKUP($C441,'Test Library'!$A:$P,5,FALSE),"")</f>
        <v>Customer exports organisation data</v>
      </c>
      <c r="G441" s="14" t="str">
        <f>IFERROR(VLOOKUP($C441,'Test Library'!$A:$P,6,FALSE),"")</f>
        <v>Critical</v>
      </c>
      <c r="H441" s="14" t="inlineStr">
        <is>
          <t xml:space="preserve">Staging</t>
        </is>
      </c>
      <c r="I441" s="14" t="inlineStr">
        <is>
          <t xml:space="preserve">Not Run</t>
        </is>
      </c>
      <c r="J441" s="14"/>
      <c r="K441" s="17"/>
      <c r="L441" s="14"/>
      <c r="M441" s="14"/>
      <c r="N441" s="14"/>
      <c r="O441" s="14" t="inlineStr">
        <is>
          <t xml:space="preserve">Not Required</t>
        </is>
      </c>
      <c r="P441" s="14" t="str">
        <f>IFERROR(VLOOKUP($C441,'Test Library'!$A:$P,14,FALSE),"")</f>
        <v>Yes</v>
      </c>
      <c r="Q441" s="14"/>
    </row>
    <row r="442">
      <c r="A442" s="14" t="inlineStr">
        <is>
          <t xml:space="preserve">BETARUN-0462</t>
        </is>
      </c>
      <c r="B442" s="14" t="inlineStr">
        <is>
          <t xml:space="preserve">Beta Release</t>
        </is>
      </c>
      <c r="C442" s="14" t="inlineStr">
        <is>
          <t xml:space="preserve">RR-0462</t>
        </is>
      </c>
      <c r="D442" s="14" t="str">
        <f>IFERROR(VLOOKUP($C442,'Test Library'!$A:$P,2,FALSE),"")</f>
        <v>Data Lifecycle &amp; Recovery</v>
      </c>
      <c r="E442" s="14" t="str">
        <f>IFERROR(VLOOKUP($C442,'Test Library'!$A:$P,3,FALSE),"")</f>
        <v>Retention, deletion and export</v>
      </c>
      <c r="F442" s="14" t="str">
        <f>IFERROR(VLOOKUP($C442,'Test Library'!$A:$P,5,FALSE),"")</f>
        <v>Employee requests access to their personal data</v>
      </c>
      <c r="G442" s="14" t="str">
        <f>IFERROR(VLOOKUP($C442,'Test Library'!$A:$P,6,FALSE),"")</f>
        <v>High</v>
      </c>
      <c r="H442" s="14" t="inlineStr">
        <is>
          <t xml:space="preserve">Staging</t>
        </is>
      </c>
      <c r="I442" s="14" t="inlineStr">
        <is>
          <t xml:space="preserve">Not Run</t>
        </is>
      </c>
      <c r="J442" s="14"/>
      <c r="K442" s="17"/>
      <c r="L442" s="14"/>
      <c r="M442" s="14"/>
      <c r="N442" s="14"/>
      <c r="O442" s="14" t="inlineStr">
        <is>
          <t xml:space="preserve">Not Required</t>
        </is>
      </c>
      <c r="P442" s="14" t="str">
        <f>IFERROR(VLOOKUP($C442,'Test Library'!$A:$P,14,FALSE),"")</f>
        <v>Yes</v>
      </c>
      <c r="Q442" s="14"/>
    </row>
    <row r="443">
      <c r="A443" s="14" t="inlineStr">
        <is>
          <t xml:space="preserve">BETARUN-0463</t>
        </is>
      </c>
      <c r="B443" s="14" t="inlineStr">
        <is>
          <t xml:space="preserve">Beta Release</t>
        </is>
      </c>
      <c r="C443" s="14" t="inlineStr">
        <is>
          <t xml:space="preserve">RR-0463</t>
        </is>
      </c>
      <c r="D443" s="14" t="str">
        <f>IFERROR(VLOOKUP($C443,'Test Library'!$A:$P,2,FALSE),"")</f>
        <v>Data Lifecycle &amp; Recovery</v>
      </c>
      <c r="E443" s="14" t="str">
        <f>IFERROR(VLOOKUP($C443,'Test Library'!$A:$P,3,FALSE),"")</f>
        <v>Retention, deletion and export</v>
      </c>
      <c r="F443" s="14" t="str">
        <f>IFERROR(VLOOKUP($C443,'Test Library'!$A:$P,5,FALSE),"")</f>
        <v>Employee is removed from organisation</v>
      </c>
      <c r="G443" s="14" t="str">
        <f>IFERROR(VLOOKUP($C443,'Test Library'!$A:$P,6,FALSE),"")</f>
        <v>Critical</v>
      </c>
      <c r="H443" s="14" t="inlineStr">
        <is>
          <t xml:space="preserve">Staging</t>
        </is>
      </c>
      <c r="I443" s="14" t="inlineStr">
        <is>
          <t xml:space="preserve">Not Run</t>
        </is>
      </c>
      <c r="J443" s="14"/>
      <c r="K443" s="17"/>
      <c r="L443" s="14"/>
      <c r="M443" s="14"/>
      <c r="N443" s="14"/>
      <c r="O443" s="14" t="inlineStr">
        <is>
          <t xml:space="preserve">Not Required</t>
        </is>
      </c>
      <c r="P443" s="14" t="str">
        <f>IFERROR(VLOOKUP($C443,'Test Library'!$A:$P,14,FALSE),"")</f>
        <v>Yes</v>
      </c>
      <c r="Q443" s="14"/>
    </row>
    <row r="444">
      <c r="A444" s="14" t="inlineStr">
        <is>
          <t xml:space="preserve">BETARUN-0464</t>
        </is>
      </c>
      <c r="B444" s="14" t="inlineStr">
        <is>
          <t xml:space="preserve">Beta Release</t>
        </is>
      </c>
      <c r="C444" s="14" t="inlineStr">
        <is>
          <t xml:space="preserve">RR-0464</t>
        </is>
      </c>
      <c r="D444" s="14" t="str">
        <f>IFERROR(VLOOKUP($C444,'Test Library'!$A:$P,2,FALSE),"")</f>
        <v>Data Lifecycle &amp; Recovery</v>
      </c>
      <c r="E444" s="14" t="str">
        <f>IFERROR(VLOOKUP($C444,'Test Library'!$A:$P,3,FALSE),"")</f>
        <v>Retention, deletion and export</v>
      </c>
      <c r="F444" s="14" t="str">
        <f>IFERROR(VLOOKUP($C444,'Test Library'!$A:$P,5,FALSE),"")</f>
        <v>Organisation requests deletion</v>
      </c>
      <c r="G444" s="14" t="str">
        <f>IFERROR(VLOOKUP($C444,'Test Library'!$A:$P,6,FALSE),"")</f>
        <v>Critical</v>
      </c>
      <c r="H444" s="14" t="inlineStr">
        <is>
          <t xml:space="preserve">Staging</t>
        </is>
      </c>
      <c r="I444" s="14" t="inlineStr">
        <is>
          <t xml:space="preserve">Not Run</t>
        </is>
      </c>
      <c r="J444" s="14"/>
      <c r="K444" s="17"/>
      <c r="L444" s="14"/>
      <c r="M444" s="14"/>
      <c r="N444" s="14"/>
      <c r="O444" s="14" t="inlineStr">
        <is>
          <t xml:space="preserve">Not Required</t>
        </is>
      </c>
      <c r="P444" s="14" t="str">
        <f>IFERROR(VLOOKUP($C444,'Test Library'!$A:$P,14,FALSE),"")</f>
        <v>Yes</v>
      </c>
      <c r="Q444" s="14"/>
    </row>
    <row r="445">
      <c r="A445" s="14" t="inlineStr">
        <is>
          <t xml:space="preserve">BETARUN-0465</t>
        </is>
      </c>
      <c r="B445" s="14" t="inlineStr">
        <is>
          <t xml:space="preserve">Beta Release</t>
        </is>
      </c>
      <c r="C445" s="14" t="inlineStr">
        <is>
          <t xml:space="preserve">RR-0465</t>
        </is>
      </c>
      <c r="D445" s="14" t="str">
        <f>IFERROR(VLOOKUP($C445,'Test Library'!$A:$P,2,FALSE),"")</f>
        <v>Data Lifecycle &amp; Recovery</v>
      </c>
      <c r="E445" s="14" t="str">
        <f>IFERROR(VLOOKUP($C445,'Test Library'!$A:$P,3,FALSE),"")</f>
        <v>Retention, deletion and export</v>
      </c>
      <c r="F445" s="14" t="str">
        <f>IFERROR(VLOOKUP($C445,'Test Library'!$A:$P,5,FALSE),"")</f>
        <v>Deleted employee email is reused later</v>
      </c>
      <c r="G445" s="14" t="str">
        <f>IFERROR(VLOOKUP($C445,'Test Library'!$A:$P,6,FALSE),"")</f>
        <v>High</v>
      </c>
      <c r="H445" s="14" t="inlineStr">
        <is>
          <t xml:space="preserve">Staging</t>
        </is>
      </c>
      <c r="I445" s="14" t="inlineStr">
        <is>
          <t xml:space="preserve">Not Run</t>
        </is>
      </c>
      <c r="J445" s="14"/>
      <c r="K445" s="17"/>
      <c r="L445" s="14"/>
      <c r="M445" s="14"/>
      <c r="N445" s="14"/>
      <c r="O445" s="14" t="inlineStr">
        <is>
          <t xml:space="preserve">Not Required</t>
        </is>
      </c>
      <c r="P445" s="14" t="str">
        <f>IFERROR(VLOOKUP($C445,'Test Library'!$A:$P,14,FALSE),"")</f>
        <v>Yes</v>
      </c>
      <c r="Q445" s="14"/>
    </row>
    <row r="446">
      <c r="A446" s="14" t="inlineStr">
        <is>
          <t xml:space="preserve">BETARUN-0466</t>
        </is>
      </c>
      <c r="B446" s="14" t="inlineStr">
        <is>
          <t xml:space="preserve">Beta Release</t>
        </is>
      </c>
      <c r="C446" s="14" t="inlineStr">
        <is>
          <t xml:space="preserve">RR-0466</t>
        </is>
      </c>
      <c r="D446" s="14" t="str">
        <f>IFERROR(VLOOKUP($C446,'Test Library'!$A:$P,2,FALSE),"")</f>
        <v>Data Lifecycle &amp; Recovery</v>
      </c>
      <c r="E446" s="14" t="str">
        <f>IFERROR(VLOOKUP($C446,'Test Library'!$A:$P,3,FALSE),"")</f>
        <v>Retention, deletion and export</v>
      </c>
      <c r="F446" s="14" t="str">
        <f>IFERROR(VLOOKUP($C446,'Test Library'!$A:$P,5,FALSE),"")</f>
        <v>Audit records reach retention limit</v>
      </c>
      <c r="G446" s="14" t="str">
        <f>IFERROR(VLOOKUP($C446,'Test Library'!$A:$P,6,FALSE),"")</f>
        <v>High</v>
      </c>
      <c r="H446" s="14" t="inlineStr">
        <is>
          <t xml:space="preserve">Staging</t>
        </is>
      </c>
      <c r="I446" s="14" t="inlineStr">
        <is>
          <t xml:space="preserve">Not Run</t>
        </is>
      </c>
      <c r="J446" s="14"/>
      <c r="K446" s="17"/>
      <c r="L446" s="14"/>
      <c r="M446" s="14"/>
      <c r="N446" s="14"/>
      <c r="O446" s="14" t="inlineStr">
        <is>
          <t xml:space="preserve">Not Required</t>
        </is>
      </c>
      <c r="P446" s="14" t="str">
        <f>IFERROR(VLOOKUP($C446,'Test Library'!$A:$P,14,FALSE),"")</f>
        <v>Yes</v>
      </c>
      <c r="Q446" s="14"/>
    </row>
    <row r="447">
      <c r="A447" s="14" t="inlineStr">
        <is>
          <t xml:space="preserve">BETARUN-0467</t>
        </is>
      </c>
      <c r="B447" s="14" t="inlineStr">
        <is>
          <t xml:space="preserve">Beta Release</t>
        </is>
      </c>
      <c r="C447" s="14" t="inlineStr">
        <is>
          <t xml:space="preserve">RR-0467</t>
        </is>
      </c>
      <c r="D447" s="14" t="str">
        <f>IFERROR(VLOOKUP($C447,'Test Library'!$A:$P,2,FALSE),"")</f>
        <v>Data Lifecycle &amp; Recovery</v>
      </c>
      <c r="E447" s="14" t="str">
        <f>IFERROR(VLOOKUP($C447,'Test Library'!$A:$P,3,FALSE),"")</f>
        <v>Retention, deletion and export</v>
      </c>
      <c r="F447" s="14" t="str">
        <f>IFERROR(VLOOKUP($C447,'Test Library'!$A:$P,5,FALSE),"")</f>
        <v>Expired invitation/reset/clock tokens</v>
      </c>
      <c r="G447" s="14" t="str">
        <f>IFERROR(VLOOKUP($C447,'Test Library'!$A:$P,6,FALSE),"")</f>
        <v>High</v>
      </c>
      <c r="H447" s="14" t="inlineStr">
        <is>
          <t xml:space="preserve">Staging</t>
        </is>
      </c>
      <c r="I447" s="14" t="inlineStr">
        <is>
          <t xml:space="preserve">Not Run</t>
        </is>
      </c>
      <c r="J447" s="14"/>
      <c r="K447" s="17"/>
      <c r="L447" s="14"/>
      <c r="M447" s="14"/>
      <c r="N447" s="14"/>
      <c r="O447" s="14" t="inlineStr">
        <is>
          <t xml:space="preserve">Not Required</t>
        </is>
      </c>
      <c r="P447" s="14" t="str">
        <f>IFERROR(VLOOKUP($C447,'Test Library'!$A:$P,14,FALSE),"")</f>
        <v>Yes</v>
      </c>
      <c r="Q447" s="14"/>
    </row>
    <row r="448">
      <c r="A448" s="14" t="inlineStr">
        <is>
          <t xml:space="preserve">BETARUN-0468</t>
        </is>
      </c>
      <c r="B448" s="14" t="inlineStr">
        <is>
          <t xml:space="preserve">Beta Release</t>
        </is>
      </c>
      <c r="C448" s="14" t="inlineStr">
        <is>
          <t xml:space="preserve">RR-0468</t>
        </is>
      </c>
      <c r="D448" s="14" t="str">
        <f>IFERROR(VLOOKUP($C448,'Test Library'!$A:$P,2,FALSE),"")</f>
        <v>Data Lifecycle &amp; Recovery</v>
      </c>
      <c r="E448" s="14" t="str">
        <f>IFERROR(VLOOKUP($C448,'Test Library'!$A:$P,3,FALSE),"")</f>
        <v>Backup and restore</v>
      </c>
      <c r="F448" s="14" t="str">
        <f>IFERROR(VLOOKUP($C448,'Test Library'!$A:$P,5,FALSE),"")</f>
        <v>Create scheduled database backup</v>
      </c>
      <c r="G448" s="14" t="str">
        <f>IFERROR(VLOOKUP($C448,'Test Library'!$A:$P,6,FALSE),"")</f>
        <v>Critical</v>
      </c>
      <c r="H448" s="14" t="inlineStr">
        <is>
          <t xml:space="preserve">Staging</t>
        </is>
      </c>
      <c r="I448" s="14" t="inlineStr">
        <is>
          <t xml:space="preserve">Not Run</t>
        </is>
      </c>
      <c r="J448" s="14"/>
      <c r="K448" s="17"/>
      <c r="L448" s="14"/>
      <c r="M448" s="14"/>
      <c r="N448" s="14"/>
      <c r="O448" s="14" t="inlineStr">
        <is>
          <t xml:space="preserve">Not Required</t>
        </is>
      </c>
      <c r="P448" s="14" t="str">
        <f>IFERROR(VLOOKUP($C448,'Test Library'!$A:$P,14,FALSE),"")</f>
        <v>Yes</v>
      </c>
      <c r="Q448" s="14"/>
    </row>
    <row r="449">
      <c r="A449" s="14" t="inlineStr">
        <is>
          <t xml:space="preserve">BETARUN-0469</t>
        </is>
      </c>
      <c r="B449" s="14" t="inlineStr">
        <is>
          <t xml:space="preserve">Beta Release</t>
        </is>
      </c>
      <c r="C449" s="14" t="inlineStr">
        <is>
          <t xml:space="preserve">RR-0469</t>
        </is>
      </c>
      <c r="D449" s="14" t="str">
        <f>IFERROR(VLOOKUP($C449,'Test Library'!$A:$P,2,FALSE),"")</f>
        <v>Data Lifecycle &amp; Recovery</v>
      </c>
      <c r="E449" s="14" t="str">
        <f>IFERROR(VLOOKUP($C449,'Test Library'!$A:$P,3,FALSE),"")</f>
        <v>Backup and restore</v>
      </c>
      <c r="F449" s="14" t="str">
        <f>IFERROR(VLOOKUP($C449,'Test Library'!$A:$P,5,FALSE),"")</f>
        <v>Restore backup into isolated environment</v>
      </c>
      <c r="G449" s="14" t="str">
        <f>IFERROR(VLOOKUP($C449,'Test Library'!$A:$P,6,FALSE),"")</f>
        <v>Critical</v>
      </c>
      <c r="H449" s="14" t="inlineStr">
        <is>
          <t xml:space="preserve">Staging</t>
        </is>
      </c>
      <c r="I449" s="14" t="inlineStr">
        <is>
          <t xml:space="preserve">Not Run</t>
        </is>
      </c>
      <c r="J449" s="14"/>
      <c r="K449" s="17"/>
      <c r="L449" s="14"/>
      <c r="M449" s="14"/>
      <c r="N449" s="14"/>
      <c r="O449" s="14" t="inlineStr">
        <is>
          <t xml:space="preserve">Not Required</t>
        </is>
      </c>
      <c r="P449" s="14" t="str">
        <f>IFERROR(VLOOKUP($C449,'Test Library'!$A:$P,14,FALSE),"")</f>
        <v>Yes</v>
      </c>
      <c r="Q449" s="14"/>
    </row>
    <row r="450">
      <c r="A450" s="14" t="inlineStr">
        <is>
          <t xml:space="preserve">BETARUN-0470</t>
        </is>
      </c>
      <c r="B450" s="14" t="inlineStr">
        <is>
          <t xml:space="preserve">Beta Release</t>
        </is>
      </c>
      <c r="C450" s="14" t="inlineStr">
        <is>
          <t xml:space="preserve">RR-0470</t>
        </is>
      </c>
      <c r="D450" s="14" t="str">
        <f>IFERROR(VLOOKUP($C450,'Test Library'!$A:$P,2,FALSE),"")</f>
        <v>Data Lifecycle &amp; Recovery</v>
      </c>
      <c r="E450" s="14" t="str">
        <f>IFERROR(VLOOKUP($C450,'Test Library'!$A:$P,3,FALSE),"")</f>
        <v>Backup and restore</v>
      </c>
      <c r="F450" s="14" t="str">
        <f>IFERROR(VLOOKUP($C450,'Test Library'!$A:$P,5,FALSE),"")</f>
        <v>Perform point-in-time recovery test</v>
      </c>
      <c r="G450" s="14" t="str">
        <f>IFERROR(VLOOKUP($C450,'Test Library'!$A:$P,6,FALSE),"")</f>
        <v>Critical</v>
      </c>
      <c r="H450" s="14" t="inlineStr">
        <is>
          <t xml:space="preserve">Staging</t>
        </is>
      </c>
      <c r="I450" s="14" t="inlineStr">
        <is>
          <t xml:space="preserve">Not Run</t>
        </is>
      </c>
      <c r="J450" s="14"/>
      <c r="K450" s="17"/>
      <c r="L450" s="14"/>
      <c r="M450" s="14"/>
      <c r="N450" s="14"/>
      <c r="O450" s="14" t="inlineStr">
        <is>
          <t xml:space="preserve">Not Required</t>
        </is>
      </c>
      <c r="P450" s="14" t="str">
        <f>IFERROR(VLOOKUP($C450,'Test Library'!$A:$P,14,FALSE),"")</f>
        <v>Yes</v>
      </c>
      <c r="Q450" s="14"/>
    </row>
    <row r="451">
      <c r="A451" s="14" t="inlineStr">
        <is>
          <t xml:space="preserve">BETARUN-0471</t>
        </is>
      </c>
      <c r="B451" s="14" t="inlineStr">
        <is>
          <t xml:space="preserve">Beta Release</t>
        </is>
      </c>
      <c r="C451" s="14" t="inlineStr">
        <is>
          <t xml:space="preserve">RR-0471</t>
        </is>
      </c>
      <c r="D451" s="14" t="str">
        <f>IFERROR(VLOOKUP($C451,'Test Library'!$A:$P,2,FALSE),"")</f>
        <v>Data Lifecycle &amp; Recovery</v>
      </c>
      <c r="E451" s="14" t="str">
        <f>IFERROR(VLOOKUP($C451,'Test Library'!$A:$P,3,FALSE),"")</f>
        <v>Backup and restore</v>
      </c>
      <c r="F451" s="14" t="str">
        <f>IFERROR(VLOOKUP($C451,'Test Library'!$A:$P,5,FALSE),"")</f>
        <v>Restore after accidental rota deletion</v>
      </c>
      <c r="G451" s="14" t="str">
        <f>IFERROR(VLOOKUP($C451,'Test Library'!$A:$P,6,FALSE),"")</f>
        <v>High</v>
      </c>
      <c r="H451" s="14" t="inlineStr">
        <is>
          <t xml:space="preserve">Staging</t>
        </is>
      </c>
      <c r="I451" s="14" t="inlineStr">
        <is>
          <t xml:space="preserve">Not Run</t>
        </is>
      </c>
      <c r="J451" s="14"/>
      <c r="K451" s="17"/>
      <c r="L451" s="14"/>
      <c r="M451" s="14"/>
      <c r="N451" s="14"/>
      <c r="O451" s="14" t="inlineStr">
        <is>
          <t xml:space="preserve">Not Required</t>
        </is>
      </c>
      <c r="P451" s="14" t="str">
        <f>IFERROR(VLOOKUP($C451,'Test Library'!$A:$P,14,FALSE),"")</f>
        <v>Yes</v>
      </c>
      <c r="Q451" s="14"/>
    </row>
    <row r="452">
      <c r="A452" s="14" t="inlineStr">
        <is>
          <t xml:space="preserve">BETARUN-0472</t>
        </is>
      </c>
      <c r="B452" s="14" t="inlineStr">
        <is>
          <t xml:space="preserve">Beta Release</t>
        </is>
      </c>
      <c r="C452" s="14" t="inlineStr">
        <is>
          <t xml:space="preserve">RR-0472</t>
        </is>
      </c>
      <c r="D452" s="14" t="str">
        <f>IFERROR(VLOOKUP($C452,'Test Library'!$A:$P,2,FALSE),"")</f>
        <v>Data Lifecycle &amp; Recovery</v>
      </c>
      <c r="E452" s="14" t="str">
        <f>IFERROR(VLOOKUP($C452,'Test Library'!$A:$P,3,FALSE),"")</f>
        <v>Backup and restore</v>
      </c>
      <c r="F452" s="14" t="str">
        <f>IFERROR(VLOOKUP($C452,'Test Library'!$A:$P,5,FALSE),"")</f>
        <v>Backup contains secrets or payment data</v>
      </c>
      <c r="G452" s="14" t="str">
        <f>IFERROR(VLOOKUP($C452,'Test Library'!$A:$P,6,FALSE),"")</f>
        <v>Critical</v>
      </c>
      <c r="H452" s="14" t="inlineStr">
        <is>
          <t xml:space="preserve">Staging</t>
        </is>
      </c>
      <c r="I452" s="14" t="inlineStr">
        <is>
          <t xml:space="preserve">Not Run</t>
        </is>
      </c>
      <c r="J452" s="14"/>
      <c r="K452" s="17"/>
      <c r="L452" s="14"/>
      <c r="M452" s="14"/>
      <c r="N452" s="14"/>
      <c r="O452" s="14" t="inlineStr">
        <is>
          <t xml:space="preserve">Not Required</t>
        </is>
      </c>
      <c r="P452" s="14" t="str">
        <f>IFERROR(VLOOKUP($C452,'Test Library'!$A:$P,14,FALSE),"")</f>
        <v>Yes</v>
      </c>
      <c r="Q452" s="14"/>
    </row>
    <row r="453">
      <c r="A453" s="14" t="inlineStr">
        <is>
          <t xml:space="preserve">BETARUN-0473</t>
        </is>
      </c>
      <c r="B453" s="14" t="inlineStr">
        <is>
          <t xml:space="preserve">Beta Release</t>
        </is>
      </c>
      <c r="C453" s="14" t="inlineStr">
        <is>
          <t xml:space="preserve">RR-0473</t>
        </is>
      </c>
      <c r="D453" s="14" t="str">
        <f>IFERROR(VLOOKUP($C453,'Test Library'!$A:$P,2,FALSE),"")</f>
        <v>Data Lifecycle &amp; Recovery</v>
      </c>
      <c r="E453" s="14" t="str">
        <f>IFERROR(VLOOKUP($C453,'Test Library'!$A:$P,3,FALSE),"")</f>
        <v>Backup and restore</v>
      </c>
      <c r="F453" s="14" t="str">
        <f>IFERROR(VLOOKUP($C453,'Test Library'!$A:$P,5,FALSE),"")</f>
        <v>Attachment/export storage is restored</v>
      </c>
      <c r="G453" s="14" t="str">
        <f>IFERROR(VLOOKUP($C453,'Test Library'!$A:$P,6,FALSE),"")</f>
        <v>High</v>
      </c>
      <c r="H453" s="14" t="inlineStr">
        <is>
          <t xml:space="preserve">Staging</t>
        </is>
      </c>
      <c r="I453" s="14" t="inlineStr">
        <is>
          <t xml:space="preserve">Not Run</t>
        </is>
      </c>
      <c r="J453" s="14"/>
      <c r="K453" s="17"/>
      <c r="L453" s="14"/>
      <c r="M453" s="14"/>
      <c r="N453" s="14"/>
      <c r="O453" s="14" t="inlineStr">
        <is>
          <t xml:space="preserve">Not Required</t>
        </is>
      </c>
      <c r="P453" s="14" t="str">
        <f>IFERROR(VLOOKUP($C453,'Test Library'!$A:$P,14,FALSE),"")</f>
        <v>Yes</v>
      </c>
      <c r="Q453" s="14"/>
    </row>
    <row r="454">
      <c r="A454" s="14" t="inlineStr">
        <is>
          <t xml:space="preserve">BETARUN-0474</t>
        </is>
      </c>
      <c r="B454" s="14" t="inlineStr">
        <is>
          <t xml:space="preserve">Beta Release</t>
        </is>
      </c>
      <c r="C454" s="14" t="inlineStr">
        <is>
          <t xml:space="preserve">RR-0474</t>
        </is>
      </c>
      <c r="D454" s="14" t="str">
        <f>IFERROR(VLOOKUP($C454,'Test Library'!$A:$P,2,FALSE),"")</f>
        <v>PWA, Push &amp; Offline</v>
      </c>
      <c r="E454" s="14" t="str">
        <f>IFERROR(VLOOKUP($C454,'Test Library'!$A:$P,3,FALSE),"")</f>
        <v>Android cold launch</v>
      </c>
      <c r="F454" s="14" t="str">
        <f>IFERROR(VLOOKUP($C454,'Test Library'!$A:$P,5,FALSE),"")</f>
        <v>Open installed PWA after removing it from recent apps</v>
      </c>
      <c r="G454" s="14" t="str">
        <f>IFERROR(VLOOKUP($C454,'Test Library'!$A:$P,6,FALSE),"")</f>
        <v>High</v>
      </c>
      <c r="H454" s="14" t="inlineStr">
        <is>
          <t xml:space="preserve">Staging</t>
        </is>
      </c>
      <c r="I454" s="14" t="inlineStr">
        <is>
          <t xml:space="preserve">Not Run</t>
        </is>
      </c>
      <c r="J454" s="14"/>
      <c r="K454" s="17"/>
      <c r="L454" s="14"/>
      <c r="M454" s="14"/>
      <c r="N454" s="14"/>
      <c r="O454" s="14" t="inlineStr">
        <is>
          <t xml:space="preserve">Not Required</t>
        </is>
      </c>
      <c r="P454" s="14" t="str">
        <f>IFERROR(VLOOKUP($C454,'Test Library'!$A:$P,14,FALSE),"")</f>
        <v>Yes</v>
      </c>
      <c r="Q454" s="14"/>
    </row>
    <row r="455">
      <c r="A455" s="14" t="inlineStr">
        <is>
          <t xml:space="preserve">BETARUN-0475</t>
        </is>
      </c>
      <c r="B455" s="14" t="inlineStr">
        <is>
          <t xml:space="preserve">Beta Release</t>
        </is>
      </c>
      <c r="C455" s="14" t="inlineStr">
        <is>
          <t xml:space="preserve">RR-0475</t>
        </is>
      </c>
      <c r="D455" s="14" t="str">
        <f>IFERROR(VLOOKUP($C455,'Test Library'!$A:$P,2,FALSE),"")</f>
        <v>PWA, Push &amp; Offline</v>
      </c>
      <c r="E455" s="14" t="str">
        <f>IFERROR(VLOOKUP($C455,'Test Library'!$A:$P,3,FALSE),"")</f>
        <v>Android idle resume</v>
      </c>
      <c r="F455" s="14" t="str">
        <f>IFERROR(VLOOKUP($C455,'Test Library'!$A:$P,5,FALSE),"")</f>
        <v>Open PWA after Android has discarded the background process</v>
      </c>
      <c r="G455" s="14" t="str">
        <f>IFERROR(VLOOKUP($C455,'Test Library'!$A:$P,6,FALSE),"")</f>
        <v>High</v>
      </c>
      <c r="H455" s="14" t="inlineStr">
        <is>
          <t xml:space="preserve">Staging</t>
        </is>
      </c>
      <c r="I455" s="14" t="inlineStr">
        <is>
          <t xml:space="preserve">Not Run</t>
        </is>
      </c>
      <c r="J455" s="14"/>
      <c r="K455" s="17"/>
      <c r="L455" s="14"/>
      <c r="M455" s="14"/>
      <c r="N455" s="14"/>
      <c r="O455" s="14" t="inlineStr">
        <is>
          <t xml:space="preserve">Not Required</t>
        </is>
      </c>
      <c r="P455" s="14" t="str">
        <f>IFERROR(VLOOKUP($C455,'Test Library'!$A:$P,14,FALSE),"")</f>
        <v>Yes</v>
      </c>
      <c r="Q455" s="14"/>
    </row>
    <row r="456">
      <c r="A456" s="14" t="inlineStr">
        <is>
          <t xml:space="preserve">BETARUN-0476</t>
        </is>
      </c>
      <c r="B456" s="14" t="inlineStr">
        <is>
          <t xml:space="preserve">Beta Release</t>
        </is>
      </c>
      <c r="C456" s="14" t="inlineStr">
        <is>
          <t xml:space="preserve">RR-0476</t>
        </is>
      </c>
      <c r="D456" s="14" t="str">
        <f>IFERROR(VLOOKUP($C456,'Test Library'!$A:$P,2,FALSE),"")</f>
        <v>Performance &amp; Reliability</v>
      </c>
      <c r="E456" s="14" t="str">
        <f>IFERROR(VLOOKUP($C456,'Test Library'!$A:$P,3,FALSE),"")</f>
        <v>Authenticated page navigation</v>
      </c>
      <c r="F456" s="14" t="str">
        <f>IFERROR(VLOOKUP($C456,'Test Library'!$A:$P,5,FALSE),"")</f>
        <v>Compare first and repeat navigation through core app pages</v>
      </c>
      <c r="G456" s="14" t="str">
        <f>IFERROR(VLOOKUP($C456,'Test Library'!$A:$P,6,FALSE),"")</f>
        <v>High</v>
      </c>
      <c r="H456" s="14" t="inlineStr">
        <is>
          <t xml:space="preserve">Staging</t>
        </is>
      </c>
      <c r="I456" s="14" t="inlineStr">
        <is>
          <t xml:space="preserve">Not Run</t>
        </is>
      </c>
      <c r="J456" s="14"/>
      <c r="K456" s="17"/>
      <c r="L456" s="14"/>
      <c r="M456" s="14"/>
      <c r="N456" s="14"/>
      <c r="O456" s="14" t="inlineStr">
        <is>
          <t xml:space="preserve">Not Required</t>
        </is>
      </c>
      <c r="P456" s="14" t="str">
        <f>IFERROR(VLOOKUP($C456,'Test Library'!$A:$P,14,FALSE),"")</f>
        <v>Yes</v>
      </c>
      <c r="Q456" s="14"/>
    </row>
    <row r="457">
      <c r="A457" s="14" t="inlineStr">
        <is>
          <t xml:space="preserve">BETARUN-0477</t>
        </is>
      </c>
      <c r="B457" s="14" t="inlineStr">
        <is>
          <t xml:space="preserve">Beta Release</t>
        </is>
      </c>
      <c r="C457" s="14" t="inlineStr">
        <is>
          <t xml:space="preserve">RR-0477</t>
        </is>
      </c>
      <c r="D457" s="14" t="str">
        <f>IFERROR(VLOOKUP($C457,'Test Library'!$A:$P,2,FALSE),"")</f>
        <v>Performance &amp; Reliability</v>
      </c>
      <c r="E457" s="14" t="str">
        <f>IFERROR(VLOOKUP($C457,'Test Library'!$A:$P,3,FALSE),"")</f>
        <v>Dashboard hydration</v>
      </c>
      <c r="F457" s="14" t="str">
        <f>IFERROR(VLOOKUP($C457,'Test Library'!$A:$P,5,FALSE),"")</f>
        <v>Direct dashboard load hydrates without replacing server-rendered content</v>
      </c>
      <c r="G457" s="14" t="str">
        <f>IFERROR(VLOOKUP($C457,'Test Library'!$A:$P,6,FALSE),"")</f>
        <v>High</v>
      </c>
      <c r="H457" s="14" t="inlineStr">
        <is>
          <t xml:space="preserve">Staging</t>
        </is>
      </c>
      <c r="I457" s="14" t="inlineStr">
        <is>
          <t xml:space="preserve">Not Run</t>
        </is>
      </c>
      <c r="J457" s="14"/>
      <c r="K457" s="17"/>
      <c r="L457" s="14"/>
      <c r="M457" s="14"/>
      <c r="N457" s="14"/>
      <c r="O457" s="14" t="inlineStr">
        <is>
          <t xml:space="preserve">Not Required</t>
        </is>
      </c>
      <c r="P457" s="14" t="str">
        <f>IFERROR(VLOOKUP($C457,'Test Library'!$A:$P,14,FALSE),"")</f>
        <v>Yes</v>
      </c>
      <c r="Q457" s="14"/>
    </row>
    <row r="458">
      <c r="A458" s="14" t="inlineStr">
        <is>
          <t xml:space="preserve">BETARUN-0478</t>
        </is>
      </c>
      <c r="B458" s="14" t="inlineStr">
        <is>
          <t xml:space="preserve">Beta Release</t>
        </is>
      </c>
      <c r="C458" s="14" t="inlineStr">
        <is>
          <t xml:space="preserve">RR-0478</t>
        </is>
      </c>
      <c r="D458" s="14" t="str">
        <f>IFERROR(VLOOKUP($C458,'Test Library'!$A:$P,2,FALSE),"")</f>
        <v>PWA, Push &amp; Offline</v>
      </c>
      <c r="E458" s="14" t="str">
        <f>IFERROR(VLOOKUP($C458,'Test Library'!$A:$P,3,FALSE),"")</f>
        <v>Navigation preload</v>
      </c>
      <c r="F458" s="14" t="str">
        <f>IFERROR(VLOOKUP($C458,'Test Library'!$A:$P,5,FALSE),"")</f>
        <v>Cold navigation reuses the service-worker preload response</v>
      </c>
      <c r="G458" s="14" t="str">
        <f>IFERROR(VLOOKUP($C458,'Test Library'!$A:$P,6,FALSE),"")</f>
        <v>High</v>
      </c>
      <c r="H458" s="14" t="inlineStr">
        <is>
          <t xml:space="preserve">Staging</t>
        </is>
      </c>
      <c r="I458" s="14" t="inlineStr">
        <is>
          <t xml:space="preserve">Not Run</t>
        </is>
      </c>
      <c r="J458" s="14"/>
      <c r="K458" s="17"/>
      <c r="L458" s="14"/>
      <c r="M458" s="14"/>
      <c r="N458" s="14"/>
      <c r="O458" s="14" t="inlineStr">
        <is>
          <t xml:space="preserve">Not Required</t>
        </is>
      </c>
      <c r="P458" s="14" t="str">
        <f>IFERROR(VLOOKUP($C458,'Test Library'!$A:$P,14,FALSE),"")</f>
        <v>No</v>
      </c>
      <c r="Q458" s="14"/>
    </row>
    <row r="459">
      <c r="A459" s="14" t="inlineStr">
        <is>
          <t xml:space="preserve">BETARUN-0479</t>
        </is>
      </c>
      <c r="B459" s="14" t="inlineStr">
        <is>
          <t xml:space="preserve">Beta Release</t>
        </is>
      </c>
      <c r="C459" s="14" t="inlineStr">
        <is>
          <t xml:space="preserve">RR-0479</t>
        </is>
      </c>
      <c r="D459" s="14" t="str">
        <f>IFERROR(VLOOKUP($C459,'Test Library'!$A:$P,2,FALSE),"")</f>
        <v>PWA, Push &amp; Offline</v>
      </c>
      <c r="E459" s="14" t="str">
        <f>IFERROR(VLOOKUP($C459,'Test Library'!$A:$P,3,FALSE),"")</f>
        <v>Navigation preload fallback</v>
      </c>
      <c r="F459" s="14" t="str">
        <f>IFERROR(VLOOKUP($C459,'Test Library'!$A:$P,5,FALSE),"")</f>
        <v>Navigation works when preload is absent or fails</v>
      </c>
      <c r="G459" s="14" t="str">
        <f>IFERROR(VLOOKUP($C459,'Test Library'!$A:$P,6,FALSE),"")</f>
        <v>High</v>
      </c>
      <c r="H459" s="14" t="inlineStr">
        <is>
          <t xml:space="preserve">Staging</t>
        </is>
      </c>
      <c r="I459" s="14" t="inlineStr">
        <is>
          <t xml:space="preserve">Not Run</t>
        </is>
      </c>
      <c r="J459" s="14"/>
      <c r="K459" s="17"/>
      <c r="L459" s="14"/>
      <c r="M459" s="14"/>
      <c r="N459" s="14"/>
      <c r="O459" s="14" t="inlineStr">
        <is>
          <t xml:space="preserve">Not Required</t>
        </is>
      </c>
      <c r="P459" s="14" t="str">
        <f>IFERROR(VLOOKUP($C459,'Test Library'!$A:$P,14,FALSE),"")</f>
        <v>Yes</v>
      </c>
      <c r="Q459" s="14"/>
    </row>
    <row r="460">
      <c r="A460" s="14" t="inlineStr">
        <is>
          <t xml:space="preserve">BETARUN-0480</t>
        </is>
      </c>
      <c r="B460" s="14" t="inlineStr">
        <is>
          <t xml:space="preserve">Beta Release</t>
        </is>
      </c>
      <c r="C460" s="14" t="inlineStr">
        <is>
          <t xml:space="preserve">RR-0480</t>
        </is>
      </c>
      <c r="D460" s="14" t="str">
        <f>IFERROR(VLOOKUP($C460,'Test Library'!$A:$P,2,FALSE),"")</f>
        <v>Manager Dashboard</v>
      </c>
      <c r="E460" s="14" t="str">
        <f>IFERROR(VLOOKUP($C460,'Test Library'!$A:$P,3,FALSE),"")</f>
        <v>Mobile action toolbar</v>
      </c>
      <c r="F460" s="14" t="str">
        <f>IFERROR(VLOOKUP($C460,'Test Library'!$A:$P,5,FALSE),"")</f>
        <v>Keep all manager actions on one row at narrow mobile widths</v>
      </c>
      <c r="G460" s="14" t="str">
        <f>IFERROR(VLOOKUP($C460,'Test Library'!$A:$P,6,FALSE),"")</f>
        <v>High</v>
      </c>
      <c r="H460" s="14" t="inlineStr">
        <is>
          <t xml:space="preserve">Staging</t>
        </is>
      </c>
      <c r="I460" s="14" t="inlineStr">
        <is>
          <t xml:space="preserve">Not Run</t>
        </is>
      </c>
      <c r="J460" s="14"/>
      <c r="K460" s="17"/>
      <c r="L460" s="14"/>
      <c r="M460" s="14"/>
      <c r="N460" s="14"/>
      <c r="O460" s="14" t="inlineStr">
        <is>
          <t xml:space="preserve">Not Required</t>
        </is>
      </c>
      <c r="P460" s="14" t="str">
        <f>IFERROR(VLOOKUP($C460,'Test Library'!$A:$P,14,FALSE),"")</f>
        <v>Yes</v>
      </c>
      <c r="Q460" s="14"/>
    </row>
    <row r="461">
      <c r="A461" s="14" t="inlineStr">
        <is>
          <t xml:space="preserve">BETARUN-0481</t>
        </is>
      </c>
      <c r="B461" s="14" t="inlineStr">
        <is>
          <t xml:space="preserve">Beta Release</t>
        </is>
      </c>
      <c r="C461" s="14" t="inlineStr">
        <is>
          <t xml:space="preserve">RR-0481</t>
        </is>
      </c>
      <c r="D461" s="14" t="str">
        <f>IFERROR(VLOOKUP($C461,'Test Library'!$A:$P,2,FALSE),"")</f>
        <v>Manager Dashboard</v>
      </c>
      <c r="E461" s="14" t="str">
        <f>IFERROR(VLOOKUP($C461,'Test Library'!$A:$P,3,FALSE),"")</f>
        <v>Team filters</v>
      </c>
      <c r="F461" s="14" t="str">
        <f>IFERROR(VLOOKUP($C461,'Test Library'!$A:$P,5,FALSE),"")</f>
        <v>Keep zone and status filters beside each other on narrow screens</v>
      </c>
      <c r="G461" s="14" t="str">
        <f>IFERROR(VLOOKUP($C461,'Test Library'!$A:$P,6,FALSE),"")</f>
        <v>High</v>
      </c>
      <c r="H461" s="14" t="inlineStr">
        <is>
          <t xml:space="preserve">Staging</t>
        </is>
      </c>
      <c r="I461" s="14" t="inlineStr">
        <is>
          <t xml:space="preserve">Not Run</t>
        </is>
      </c>
      <c r="J461" s="14"/>
      <c r="K461" s="17"/>
      <c r="L461" s="14"/>
      <c r="M461" s="14"/>
      <c r="N461" s="14"/>
      <c r="O461" s="14" t="inlineStr">
        <is>
          <t xml:space="preserve">Not Required</t>
        </is>
      </c>
      <c r="P461" s="14" t="str">
        <f>IFERROR(VLOOKUP($C461,'Test Library'!$A:$P,14,FALSE),"")</f>
        <v>Yes</v>
      </c>
      <c r="Q461" s="14"/>
    </row>
    <row r="462">
      <c r="A462" s="14" t="inlineStr">
        <is>
          <t xml:space="preserve">BETARUN-0482</t>
        </is>
      </c>
      <c r="B462" s="14" t="inlineStr">
        <is>
          <t xml:space="preserve">Beta Release</t>
        </is>
      </c>
      <c r="C462" s="14" t="inlineStr">
        <is>
          <t xml:space="preserve">RR-0482</t>
        </is>
      </c>
      <c r="D462" s="14" t="str">
        <f>IFERROR(VLOOKUP($C462,'Test Library'!$A:$P,2,FALSE),"")</f>
        <v>Manager Dashboard</v>
      </c>
      <c r="E462" s="14" t="str">
        <f>IFERROR(VLOOKUP($C462,'Test Library'!$A:$P,3,FALSE),"")</f>
        <v>Staffing refresh</v>
      </c>
      <c r="F462" s="14" t="str">
        <f>IFERROR(VLOOKUP($C462,'Test Library'!$A:$P,5,FALSE),"")</f>
        <v>Refresh and resume update attendance without stale team rows</v>
      </c>
      <c r="G462" s="14" t="str">
        <f>IFERROR(VLOOKUP($C462,'Test Library'!$A:$P,6,FALSE),"")</f>
        <v>High</v>
      </c>
      <c r="H462" s="14" t="inlineStr">
        <is>
          <t xml:space="preserve">Staging</t>
        </is>
      </c>
      <c r="I462" s="14" t="inlineStr">
        <is>
          <t xml:space="preserve">Not Run</t>
        </is>
      </c>
      <c r="J462" s="14"/>
      <c r="K462" s="17"/>
      <c r="L462" s="14"/>
      <c r="M462" s="14"/>
      <c r="N462" s="14"/>
      <c r="O462" s="14" t="inlineStr">
        <is>
          <t xml:space="preserve">Not Required</t>
        </is>
      </c>
      <c r="P462" s="14" t="str">
        <f>IFERROR(VLOOKUP($C462,'Test Library'!$A:$P,14,FALSE),"")</f>
        <v>Yes</v>
      </c>
      <c r="Q462" s="14"/>
    </row>
    <row r="463">
      <c r="A463" s="14" t="inlineStr">
        <is>
          <t xml:space="preserve">BETARUN-0483</t>
        </is>
      </c>
      <c r="B463" s="14" t="inlineStr">
        <is>
          <t xml:space="preserve">Beta Release</t>
        </is>
      </c>
      <c r="C463" s="14" t="inlineStr">
        <is>
          <t xml:space="preserve">RR-0483</t>
        </is>
      </c>
      <c r="D463" s="14" t="str">
        <f>IFERROR(VLOOKUP($C463,'Test Library'!$A:$P,2,FALSE),"")</f>
        <v>Manager Dashboard</v>
      </c>
      <c r="E463" s="14" t="str">
        <f>IFERROR(VLOOKUP($C463,'Test Library'!$A:$P,3,FALSE),"")</f>
        <v>Attention panel recovery</v>
      </c>
      <c r="F463" s="14" t="str">
        <f>IFERROR(VLOOKUP($C463,'Test Library'!$A:$P,5,FALSE),"")</f>
        <v>Attention request failure does not block the main dashboard</v>
      </c>
      <c r="G463" s="14" t="str">
        <f>IFERROR(VLOOKUP($C463,'Test Library'!$A:$P,6,FALSE),"")</f>
        <v>High</v>
      </c>
      <c r="H463" s="14" t="inlineStr">
        <is>
          <t xml:space="preserve">Staging</t>
        </is>
      </c>
      <c r="I463" s="14" t="inlineStr">
        <is>
          <t xml:space="preserve">Not Run</t>
        </is>
      </c>
      <c r="J463" s="14"/>
      <c r="K463" s="17"/>
      <c r="L463" s="14"/>
      <c r="M463" s="14"/>
      <c r="N463" s="14"/>
      <c r="O463" s="14" t="inlineStr">
        <is>
          <t xml:space="preserve">Not Required</t>
        </is>
      </c>
      <c r="P463" s="14" t="str">
        <f>IFERROR(VLOOKUP($C463,'Test Library'!$A:$P,14,FALSE),"")</f>
        <v>Yes</v>
      </c>
      <c r="Q463" s="14"/>
    </row>
    <row r="464">
      <c r="A464" s="14" t="inlineStr">
        <is>
          <t xml:space="preserve">BETARUN-0484</t>
        </is>
      </c>
      <c r="B464" s="14" t="inlineStr">
        <is>
          <t xml:space="preserve">Beta Release</t>
        </is>
      </c>
      <c r="C464" s="14" t="inlineStr">
        <is>
          <t xml:space="preserve">RR-0484</t>
        </is>
      </c>
      <c r="D464" s="14" t="str">
        <f>IFERROR(VLOOKUP($C464,'Test Library'!$A:$P,2,FALSE),"")</f>
        <v>Manager Dashboard</v>
      </c>
      <c r="E464" s="14" t="str">
        <f>IFERROR(VLOOKUP($C464,'Test Library'!$A:$P,3,FALSE),"")</f>
        <v>Location permissions</v>
      </c>
      <c r="F464" s="14" t="str">
        <f>IFERROR(VLOOKUP($C464,'Test Library'!$A:$P,5,FALSE),"")</f>
        <v>Optimised dashboard queries respect manager location access</v>
      </c>
      <c r="G464" s="14" t="str">
        <f>IFERROR(VLOOKUP($C464,'Test Library'!$A:$P,6,FALSE),"")</f>
        <v>Critical</v>
      </c>
      <c r="H464" s="14" t="inlineStr">
        <is>
          <t xml:space="preserve">Staging</t>
        </is>
      </c>
      <c r="I464" s="14" t="inlineStr">
        <is>
          <t xml:space="preserve">Not Run</t>
        </is>
      </c>
      <c r="J464" s="14"/>
      <c r="K464" s="17"/>
      <c r="L464" s="14"/>
      <c r="M464" s="14"/>
      <c r="N464" s="14"/>
      <c r="O464" s="14" t="inlineStr">
        <is>
          <t xml:space="preserve">Not Required</t>
        </is>
      </c>
      <c r="P464" s="14" t="str">
        <f>IFERROR(VLOOKUP($C464,'Test Library'!$A:$P,14,FALSE),"")</f>
        <v>Yes</v>
      </c>
      <c r="Q464" s="14"/>
    </row>
    <row r="465">
      <c r="A465" s="14" t="inlineStr">
        <is>
          <t xml:space="preserve">BETARUN-0485</t>
        </is>
      </c>
      <c r="B465" s="14" t="inlineStr">
        <is>
          <t xml:space="preserve">Beta Release</t>
        </is>
      </c>
      <c r="C465" s="14" t="inlineStr">
        <is>
          <t xml:space="preserve">RR-0485</t>
        </is>
      </c>
      <c r="D465" s="14" t="str">
        <f>IFERROR(VLOOKUP($C465,'Test Library'!$A:$P,2,FALSE),"")</f>
        <v>Manager Dashboard</v>
      </c>
      <c r="E465" s="14" t="str">
        <f>IFERROR(VLOOKUP($C465,'Test Library'!$A:$P,3,FALSE),"")</f>
        <v>Attendance disabled</v>
      </c>
      <c r="F465" s="14" t="str">
        <f>IFERROR(VLOOKUP($C465,'Test Library'!$A:$P,5,FALSE),"")</f>
        <v>Dashboard remains useful when attendance is disabled</v>
      </c>
      <c r="G465" s="14" t="str">
        <f>IFERROR(VLOOKUP($C465,'Test Library'!$A:$P,6,FALSE),"")</f>
        <v>High</v>
      </c>
      <c r="H465" s="14" t="inlineStr">
        <is>
          <t xml:space="preserve">Staging</t>
        </is>
      </c>
      <c r="I465" s="14" t="inlineStr">
        <is>
          <t xml:space="preserve">Not Run</t>
        </is>
      </c>
      <c r="J465" s="14"/>
      <c r="K465" s="17"/>
      <c r="L465" s="14"/>
      <c r="M465" s="14"/>
      <c r="N465" s="14"/>
      <c r="O465" s="14" t="inlineStr">
        <is>
          <t xml:space="preserve">Not Required</t>
        </is>
      </c>
      <c r="P465" s="14" t="str">
        <f>IFERROR(VLOOKUP($C465,'Test Library'!$A:$P,14,FALSE),"")</f>
        <v>Yes</v>
      </c>
      <c r="Q465" s="14"/>
    </row>
    <row r="466">
      <c r="A466" s="14" t="inlineStr">
        <is>
          <t xml:space="preserve">BETARUN-0486</t>
        </is>
      </c>
      <c r="B466" s="14" t="inlineStr">
        <is>
          <t xml:space="preserve">Beta Release</t>
        </is>
      </c>
      <c r="C466" s="14" t="inlineStr">
        <is>
          <t xml:space="preserve">RR-0486</t>
        </is>
      </c>
      <c r="D466" s="14" t="str">
        <f>IFERROR(VLOOKUP($C466,'Test Library'!$A:$P,2,FALSE),"")</f>
        <v>NFC Clock-in Security</v>
      </c>
      <c r="E466" s="14" t="str">
        <f>IFERROR(VLOOKUP($C466,'Test Library'!$A:$P,3,FALSE),"")</f>
        <v>Manual clock dialog loading</v>
      </c>
      <c r="F466" s="14" t="str">
        <f>IFERROR(VLOOKUP($C466,'Test Library'!$A:$P,5,FALSE),"")</f>
        <v>Open the deferred manual clock dialog on first and repeat use</v>
      </c>
      <c r="G466" s="14" t="str">
        <f>IFERROR(VLOOKUP($C466,'Test Library'!$A:$P,6,FALSE),"")</f>
        <v>High</v>
      </c>
      <c r="H466" s="14" t="inlineStr">
        <is>
          <t xml:space="preserve">Staging</t>
        </is>
      </c>
      <c r="I466" s="14" t="inlineStr">
        <is>
          <t xml:space="preserve">Not Run</t>
        </is>
      </c>
      <c r="J466" s="14"/>
      <c r="K466" s="17"/>
      <c r="L466" s="14"/>
      <c r="M466" s="14"/>
      <c r="N466" s="14"/>
      <c r="O466" s="14" t="inlineStr">
        <is>
          <t xml:space="preserve">Not Required</t>
        </is>
      </c>
      <c r="P466" s="14" t="str">
        <f>IFERROR(VLOOKUP($C466,'Test Library'!$A:$P,14,FALSE),"")</f>
        <v>Yes</v>
      </c>
      <c r="Q466" s="14"/>
    </row>
    <row r="467">
      <c r="A467" s="14" t="inlineStr">
        <is>
          <t xml:space="preserve">BETARUN-0487</t>
        </is>
      </c>
      <c r="B467" s="14" t="inlineStr">
        <is>
          <t xml:space="preserve">Beta Release</t>
        </is>
      </c>
      <c r="C467" s="14" t="inlineStr">
        <is>
          <t xml:space="preserve">RR-0487</t>
        </is>
      </c>
      <c r="D467" s="14" t="str">
        <f>IFERROR(VLOOKUP($C467,'Test Library'!$A:$P,2,FALSE),"")</f>
        <v>NFC Clock-in Security</v>
      </c>
      <c r="E467" s="14" t="str">
        <f>IFERROR(VLOOKUP($C467,'Test Library'!$A:$P,3,FALSE),"")</f>
        <v>Backdated manual override</v>
      </c>
      <c r="F467" s="14" t="str">
        <f>IFERROR(VLOOKUP($C467,'Test Library'!$A:$P,5,FALSE),"")</f>
        <v>Backdated manual clocking uses location time and rejects invalid chronology</v>
      </c>
      <c r="G467" s="14" t="str">
        <f>IFERROR(VLOOKUP($C467,'Test Library'!$A:$P,6,FALSE),"")</f>
        <v>High</v>
      </c>
      <c r="H467" s="14" t="inlineStr">
        <is>
          <t xml:space="preserve">Staging</t>
        </is>
      </c>
      <c r="I467" s="14" t="inlineStr">
        <is>
          <t xml:space="preserve">Not Run</t>
        </is>
      </c>
      <c r="J467" s="14"/>
      <c r="K467" s="17"/>
      <c r="L467" s="14"/>
      <c r="M467" s="14"/>
      <c r="N467" s="14"/>
      <c r="O467" s="14" t="inlineStr">
        <is>
          <t xml:space="preserve">Not Required</t>
        </is>
      </c>
      <c r="P467" s="14" t="str">
        <f>IFERROR(VLOOKUP($C467,'Test Library'!$A:$P,14,FALSE),"")</f>
        <v>Yes</v>
      </c>
      <c r="Q467" s="14"/>
    </row>
    <row r="468">
      <c r="A468" s="14" t="inlineStr">
        <is>
          <t xml:space="preserve">BETARUN-0488</t>
        </is>
      </c>
      <c r="B468" s="14" t="inlineStr">
        <is>
          <t xml:space="preserve">Beta Release</t>
        </is>
      </c>
      <c r="C468" s="14" t="inlineStr">
        <is>
          <t xml:space="preserve">RR-0488</t>
        </is>
      </c>
      <c r="D468" s="14" t="str">
        <f>IFERROR(VLOOKUP($C468,'Test Library'!$A:$P,2,FALSE),"")</f>
        <v>Timesheets</v>
      </c>
      <c r="E468" s="14" t="str">
        <f>IFERROR(VLOOKUP($C468,'Test Library'!$A:$P,3,FALSE),"")</f>
        <v>Scheduled automatic clock-out</v>
      </c>
      <c r="F468" s="14" t="str">
        <f>IFERROR(VLOOKUP($C468,'Test Library'!$A:$P,5,FALSE),"")</f>
        <v>Overdue scheduled entry closes as an estimate requiring review</v>
      </c>
      <c r="G468" s="14" t="str">
        <f>IFERROR(VLOOKUP($C468,'Test Library'!$A:$P,6,FALSE),"")</f>
        <v>High</v>
      </c>
      <c r="H468" s="14" t="inlineStr">
        <is>
          <t xml:space="preserve">Staging</t>
        </is>
      </c>
      <c r="I468" s="14" t="inlineStr">
        <is>
          <t xml:space="preserve">Not Run</t>
        </is>
      </c>
      <c r="J468" s="14"/>
      <c r="K468" s="17"/>
      <c r="L468" s="14"/>
      <c r="M468" s="14"/>
      <c r="N468" s="14"/>
      <c r="O468" s="14" t="inlineStr">
        <is>
          <t xml:space="preserve">Not Required</t>
        </is>
      </c>
      <c r="P468" s="14" t="str">
        <f>IFERROR(VLOOKUP($C468,'Test Library'!$A:$P,14,FALSE),"")</f>
        <v>Yes</v>
      </c>
      <c r="Q468" s="14"/>
    </row>
    <row r="469">
      <c r="A469" s="14" t="inlineStr">
        <is>
          <t xml:space="preserve">BETARUN-0489</t>
        </is>
      </c>
      <c r="B469" s="14" t="inlineStr">
        <is>
          <t xml:space="preserve">Beta Release</t>
        </is>
      </c>
      <c r="C469" s="14" t="inlineStr">
        <is>
          <t xml:space="preserve">RR-0489</t>
        </is>
      </c>
      <c r="D469" s="14" t="str">
        <f>IFERROR(VLOOKUP($C469,'Test Library'!$A:$P,2,FALSE),"")</f>
        <v>Timesheets</v>
      </c>
      <c r="E469" s="14" t="str">
        <f>IFERROR(VLOOKUP($C469,'Test Library'!$A:$P,3,FALSE),"")</f>
        <v>Unscheduled automatic clock-out</v>
      </c>
      <c r="F469" s="14" t="str">
        <f>IFERROR(VLOOKUP($C469,'Test Library'!$A:$P,5,FALSE),"")</f>
        <v>Unscheduled closure uses the selected location's configured limit</v>
      </c>
      <c r="G469" s="14" t="str">
        <f>IFERROR(VLOOKUP($C469,'Test Library'!$A:$P,6,FALSE),"")</f>
        <v>High</v>
      </c>
      <c r="H469" s="14" t="inlineStr">
        <is>
          <t xml:space="preserve">Staging</t>
        </is>
      </c>
      <c r="I469" s="14" t="inlineStr">
        <is>
          <t xml:space="preserve">Not Run</t>
        </is>
      </c>
      <c r="J469" s="14"/>
      <c r="K469" s="17"/>
      <c r="L469" s="14"/>
      <c r="M469" s="14"/>
      <c r="N469" s="14"/>
      <c r="O469" s="14" t="inlineStr">
        <is>
          <t xml:space="preserve">Not Required</t>
        </is>
      </c>
      <c r="P469" s="14" t="str">
        <f>IFERROR(VLOOKUP($C469,'Test Library'!$A:$P,14,FALSE),"")</f>
        <v>Yes</v>
      </c>
      <c r="Q469" s="14"/>
    </row>
    <row r="470">
      <c r="A470" s="14" t="inlineStr">
        <is>
          <t xml:space="preserve">BETARUN-0490</t>
        </is>
      </c>
      <c r="B470" s="14" t="inlineStr">
        <is>
          <t xml:space="preserve">Beta Release</t>
        </is>
      </c>
      <c r="C470" s="14" t="inlineStr">
        <is>
          <t xml:space="preserve">RR-0490</t>
        </is>
      </c>
      <c r="D470" s="14" t="str">
        <f>IFERROR(VLOOKUP($C470,'Test Library'!$A:$P,2,FALSE),"")</f>
        <v>PWA, Push &amp; Offline</v>
      </c>
      <c r="E470" s="14" t="str">
        <f>IFERROR(VLOOKUP($C470,'Test Library'!$A:$P,3,FALSE),"")</f>
        <v>Clock-out reminder race</v>
      </c>
      <c r="F470" s="14" t="str">
        <f>IFERROR(VLOOKUP($C470,'Test Library'!$A:$P,5,FALSE),"")</f>
        <v>Clock-out reminder does not notify an employee who has already finished</v>
      </c>
      <c r="G470" s="14" t="str">
        <f>IFERROR(VLOOKUP($C470,'Test Library'!$A:$P,6,FALSE),"")</f>
        <v>High</v>
      </c>
      <c r="H470" s="14" t="inlineStr">
        <is>
          <t xml:space="preserve">Staging</t>
        </is>
      </c>
      <c r="I470" s="14" t="inlineStr">
        <is>
          <t xml:space="preserve">Not Run</t>
        </is>
      </c>
      <c r="J470" s="14"/>
      <c r="K470" s="17"/>
      <c r="L470" s="14"/>
      <c r="M470" s="14"/>
      <c r="N470" s="14"/>
      <c r="O470" s="14" t="inlineStr">
        <is>
          <t xml:space="preserve">Not Required</t>
        </is>
      </c>
      <c r="P470" s="14" t="str">
        <f>IFERROR(VLOOKUP($C470,'Test Library'!$A:$P,14,FALSE),"")</f>
        <v>Yes</v>
      </c>
      <c r="Q470" s="14"/>
    </row>
    <row r="471">
      <c r="A471" s="14" t="inlineStr">
        <is>
          <t xml:space="preserve">BETARUN-0491</t>
        </is>
      </c>
      <c r="B471" s="14" t="inlineStr">
        <is>
          <t xml:space="preserve">Beta Release</t>
        </is>
      </c>
      <c r="C471" s="14" t="inlineStr">
        <is>
          <t xml:space="preserve">RR-0491</t>
        </is>
      </c>
      <c r="D471" s="14" t="str">
        <f>IFERROR(VLOOKUP($C471,'Test Library'!$A:$P,2,FALSE),"")</f>
        <v>Timesheets</v>
      </c>
      <c r="E471" s="14" t="str">
        <f>IFERROR(VLOOKUP($C471,'Test Library'!$A:$P,3,FALSE),"")</f>
        <v>Time display preference</v>
      </c>
      <c r="F471" s="14" t="str">
        <f>IFERROR(VLOOKUP($C471,'Test Library'!$A:$P,5,FALSE),"")</f>
        <v>Use 12-hour and 24-hour time consistently across attendance pages</v>
      </c>
      <c r="G471" s="14" t="str">
        <f>IFERROR(VLOOKUP($C471,'Test Library'!$A:$P,6,FALSE),"")</f>
        <v>Medium</v>
      </c>
      <c r="H471" s="14" t="inlineStr">
        <is>
          <t xml:space="preserve">Staging</t>
        </is>
      </c>
      <c r="I471" s="14" t="inlineStr">
        <is>
          <t xml:space="preserve">Not Run</t>
        </is>
      </c>
      <c r="J471" s="14"/>
      <c r="K471" s="17"/>
      <c r="L471" s="14"/>
      <c r="M471" s="14"/>
      <c r="N471" s="14"/>
      <c r="O471" s="14" t="inlineStr">
        <is>
          <t xml:space="preserve">Not Required</t>
        </is>
      </c>
      <c r="P471" s="14" t="str">
        <f>IFERROR(VLOOKUP($C471,'Test Library'!$A:$P,14,FALSE),"")</f>
        <v>No</v>
      </c>
      <c r="Q471" s="14"/>
    </row>
    <row r="472">
      <c r="A472" s="14" t="inlineStr">
        <is>
          <t xml:space="preserve">BETARUN-0492</t>
        </is>
      </c>
      <c r="B472" s="14" t="inlineStr">
        <is>
          <t xml:space="preserve">Beta Release</t>
        </is>
      </c>
      <c r="C472" s="14" t="inlineStr">
        <is>
          <t xml:space="preserve">RR-0492</t>
        </is>
      </c>
      <c r="D472" s="14" t="str">
        <f>IFERROR(VLOOKUP($C472,'Test Library'!$A:$P,2,FALSE),"")</f>
        <v>Publishing &amp; Notifications</v>
      </c>
      <c r="E472" s="14" t="str">
        <f>IFERROR(VLOOKUP($C472,'Test Library'!$A:$P,3,FALSE),"")</f>
        <v>Publication numbers</v>
      </c>
      <c r="F472" s="14" t="str">
        <f>IFERROR(VLOOKUP($C472,'Test Library'!$A:$P,5,FALSE),"")</f>
        <v>Draft saves do not increment the visible publication number</v>
      </c>
      <c r="G472" s="14" t="str">
        <f>IFERROR(VLOOKUP($C472,'Test Library'!$A:$P,6,FALSE),"")</f>
        <v>High</v>
      </c>
      <c r="H472" s="14" t="inlineStr">
        <is>
          <t xml:space="preserve">Staging</t>
        </is>
      </c>
      <c r="I472" s="14" t="inlineStr">
        <is>
          <t xml:space="preserve">Not Run</t>
        </is>
      </c>
      <c r="J472" s="14"/>
      <c r="K472" s="17"/>
      <c r="L472" s="14"/>
      <c r="M472" s="14"/>
      <c r="N472" s="14"/>
      <c r="O472" s="14" t="inlineStr">
        <is>
          <t xml:space="preserve">Not Required</t>
        </is>
      </c>
      <c r="P472" s="14" t="str">
        <f>IFERROR(VLOOKUP($C472,'Test Library'!$A:$P,14,FALSE),"")</f>
        <v>Yes</v>
      </c>
      <c r="Q472" s="14"/>
    </row>
    <row r="473">
      <c r="A473" s="14" t="inlineStr">
        <is>
          <t xml:space="preserve">BETARUN-0493</t>
        </is>
      </c>
      <c r="B473" s="14" t="inlineStr">
        <is>
          <t xml:space="preserve">Beta Release</t>
        </is>
      </c>
      <c r="C473" s="14" t="inlineStr">
        <is>
          <t xml:space="preserve">RR-0493</t>
        </is>
      </c>
      <c r="D473" s="14" t="str">
        <f>IFERROR(VLOOKUP($C473,'Test Library'!$A:$P,2,FALSE),"")</f>
        <v>Admin Console &amp; Support</v>
      </c>
      <c r="E473" s="14" t="str">
        <f>IFERROR(VLOOKUP($C473,'Test Library'!$A:$P,3,FALSE),"")</f>
        <v>Location feature flags</v>
      </c>
      <c r="F473" s="14" t="str">
        <f>IFERROR(VLOOKUP($C473,'Test Library'!$A:$P,5,FALSE),"")</f>
        <v>Time-clock feature flags apply per location and are enforced server-side</v>
      </c>
      <c r="G473" s="14" t="str">
        <f>IFERROR(VLOOKUP($C473,'Test Library'!$A:$P,6,FALSE),"")</f>
        <v>Critical</v>
      </c>
      <c r="H473" s="14" t="inlineStr">
        <is>
          <t xml:space="preserve">Staging</t>
        </is>
      </c>
      <c r="I473" s="14" t="inlineStr">
        <is>
          <t xml:space="preserve">Not Run</t>
        </is>
      </c>
      <c r="J473" s="14"/>
      <c r="K473" s="17"/>
      <c r="L473" s="14"/>
      <c r="M473" s="14"/>
      <c r="N473" s="14"/>
      <c r="O473" s="14" t="inlineStr">
        <is>
          <t xml:space="preserve">Not Required</t>
        </is>
      </c>
      <c r="P473" s="14" t="str">
        <f>IFERROR(VLOOKUP($C473,'Test Library'!$A:$P,14,FALSE),"")</f>
        <v>Yes</v>
      </c>
      <c r="Q473" s="14"/>
    </row>
    <row r="474">
      <c r="A474" s="14" t="inlineStr">
        <is>
          <t xml:space="preserve">BETARUN-0494</t>
        </is>
      </c>
      <c r="B474" s="14" t="inlineStr">
        <is>
          <t xml:space="preserve">Beta Release</t>
        </is>
      </c>
      <c r="C474" s="14" t="inlineStr">
        <is>
          <t xml:space="preserve">RR-0494</t>
        </is>
      </c>
      <c r="D474" s="14" t="str">
        <f>IFERROR(VLOOKUP($C474,'Test Library'!$A:$P,2,FALSE),"")</f>
        <v>Admin Console &amp; Support</v>
      </c>
      <c r="E474" s="14" t="str">
        <f>IFERROR(VLOOKUP($C474,'Test Library'!$A:$P,3,FALSE),"")</f>
        <v>Shift-swap availability flag</v>
      </c>
      <c r="F474" s="14" t="str">
        <f>IFERROR(VLOOKUP($C474,'Test Library'!$A:$P,5,FALSE),"")</f>
        <v>Disabled shift swaps cannot be used through a bookmarked route</v>
      </c>
      <c r="G474" s="14" t="str">
        <f>IFERROR(VLOOKUP($C474,'Test Library'!$A:$P,6,FALSE),"")</f>
        <v>High</v>
      </c>
      <c r="H474" s="14" t="inlineStr">
        <is>
          <t xml:space="preserve">Staging</t>
        </is>
      </c>
      <c r="I474" s="14" t="inlineStr">
        <is>
          <t xml:space="preserve">Not Run</t>
        </is>
      </c>
      <c r="J474" s="14"/>
      <c r="K474" s="17"/>
      <c r="L474" s="14"/>
      <c r="M474" s="14"/>
      <c r="N474" s="14"/>
      <c r="O474" s="14" t="inlineStr">
        <is>
          <t xml:space="preserve">Not Required</t>
        </is>
      </c>
      <c r="P474" s="14" t="str">
        <f>IFERROR(VLOOKUP($C474,'Test Library'!$A:$P,14,FALSE),"")</f>
        <v>Yes</v>
      </c>
      <c r="Q474" s="14"/>
    </row>
    <row r="475">
      <c r="A475" s="14" t="inlineStr">
        <is>
          <t xml:space="preserve">BETARUN-0495</t>
        </is>
      </c>
      <c r="B475" s="14" t="inlineStr">
        <is>
          <t xml:space="preserve">Beta Release</t>
        </is>
      </c>
      <c r="C475" s="14" t="inlineStr">
        <is>
          <t xml:space="preserve">RR-0495</t>
        </is>
      </c>
      <c r="D475" s="14" t="str">
        <f>IFERROR(VLOOKUP($C475,'Test Library'!$A:$P,2,FALSE),"")</f>
        <v>Employee Dashboard</v>
      </c>
      <c r="E475" s="14" t="str">
        <f>IFERROR(VLOOKUP($C475,'Test Library'!$A:$P,3,FALSE),"")</f>
        <v>Announcement targeting</v>
      </c>
      <c r="F475" s="14" t="str">
        <f>IFERROR(VLOOKUP($C475,'Test Library'!$A:$P,5,FALSE),"")</f>
        <v>Manager announcement targeting stays within managed locations</v>
      </c>
      <c r="G475" s="14" t="str">
        <f>IFERROR(VLOOKUP($C475,'Test Library'!$A:$P,6,FALSE),"")</f>
        <v>High</v>
      </c>
      <c r="H475" s="14" t="inlineStr">
        <is>
          <t xml:space="preserve">Staging</t>
        </is>
      </c>
      <c r="I475" s="14" t="inlineStr">
        <is>
          <t xml:space="preserve">Not Run</t>
        </is>
      </c>
      <c r="J475" s="14"/>
      <c r="K475" s="17"/>
      <c r="L475" s="14"/>
      <c r="M475" s="14"/>
      <c r="N475" s="14"/>
      <c r="O475" s="14" t="inlineStr">
        <is>
          <t xml:space="preserve">Not Required</t>
        </is>
      </c>
      <c r="P475" s="14" t="str">
        <f>IFERROR(VLOOKUP($C475,'Test Library'!$A:$P,14,FALSE),"")</f>
        <v>Yes</v>
      </c>
      <c r="Q475" s="14"/>
    </row>
    <row r="476">
      <c r="A476" s="14" t="inlineStr">
        <is>
          <t xml:space="preserve">BETARUN-0496</t>
        </is>
      </c>
      <c r="B476" s="14" t="inlineStr">
        <is>
          <t xml:space="preserve">Beta Release</t>
        </is>
      </c>
      <c r="C476" s="14" t="inlineStr">
        <is>
          <t xml:space="preserve">RR-0496</t>
        </is>
      </c>
      <c r="D476" s="14" t="str">
        <f>IFERROR(VLOOKUP($C476,'Test Library'!$A:$P,2,FALSE),"")</f>
        <v>PWA, Push &amp; Offline</v>
      </c>
      <c r="E476" s="14" t="str">
        <f>IFERROR(VLOOKUP($C476,'Test Library'!$A:$P,3,FALSE),"")</f>
        <v>Announcement preferences</v>
      </c>
      <c r="F476" s="14" t="str">
        <f>IFERROR(VLOOKUP($C476,'Test Library'!$A:$P,5,FALSE),"")</f>
        <v>Announcement notification preferences persist without hiding in-app content</v>
      </c>
      <c r="G476" s="14" t="str">
        <f>IFERROR(VLOOKUP($C476,'Test Library'!$A:$P,6,FALSE),"")</f>
        <v>High</v>
      </c>
      <c r="H476" s="14" t="inlineStr">
        <is>
          <t xml:space="preserve">Staging</t>
        </is>
      </c>
      <c r="I476" s="14" t="inlineStr">
        <is>
          <t xml:space="preserve">Not Run</t>
        </is>
      </c>
      <c r="J476" s="14"/>
      <c r="K476" s="17"/>
      <c r="L476" s="14"/>
      <c r="M476" s="14"/>
      <c r="N476" s="14"/>
      <c r="O476" s="14" t="inlineStr">
        <is>
          <t xml:space="preserve">Not Required</t>
        </is>
      </c>
      <c r="P476" s="14" t="str">
        <f>IFERROR(VLOOKUP($C476,'Test Library'!$A:$P,14,FALSE),"")</f>
        <v>No</v>
      </c>
      <c r="Q476" s="14"/>
    </row>
    <row r="477">
      <c r="A477" s="14" t="inlineStr">
        <is>
          <t xml:space="preserve">BETARUN-0497</t>
        </is>
      </c>
      <c r="B477" s="14" t="inlineStr">
        <is>
          <t xml:space="preserve">Beta Release</t>
        </is>
      </c>
      <c r="C477" s="14" t="inlineStr">
        <is>
          <t xml:space="preserve">RR-0497</t>
        </is>
      </c>
      <c r="D477" s="14" t="str">
        <f>IFERROR(VLOOKUP($C477,'Test Library'!$A:$P,2,FALSE),"")</f>
        <v>Templates, Notes &amp; Export</v>
      </c>
      <c r="E477" s="14" t="str">
        <f>IFERROR(VLOOKUP($C477,'Test Library'!$A:$P,3,FALSE),"")</f>
        <v>Deferred rota dialogs</v>
      </c>
      <c r="F477" s="14" t="str">
        <f>IFERROR(VLOOKUP($C477,'Test Library'!$A:$P,5,FALSE),"")</f>
        <v>First use of create-rota and template dialogs works after route splitting</v>
      </c>
      <c r="G477" s="14" t="str">
        <f>IFERROR(VLOOKUP($C477,'Test Library'!$A:$P,6,FALSE),"")</f>
        <v>High</v>
      </c>
      <c r="H477" s="14" t="inlineStr">
        <is>
          <t xml:space="preserve">Staging</t>
        </is>
      </c>
      <c r="I477" s="14" t="inlineStr">
        <is>
          <t xml:space="preserve">Not Run</t>
        </is>
      </c>
      <c r="J477" s="14"/>
      <c r="K477" s="17"/>
      <c r="L477" s="14"/>
      <c r="M477" s="14"/>
      <c r="N477" s="14"/>
      <c r="O477" s="14" t="inlineStr">
        <is>
          <t xml:space="preserve">Not Required</t>
        </is>
      </c>
      <c r="P477" s="14" t="str">
        <f>IFERROR(VLOOKUP($C477,'Test Library'!$A:$P,14,FALSE),"")</f>
        <v>Yes</v>
      </c>
      <c r="Q477" s="14"/>
    </row>
  </sheetData>
  <conditionalFormatting sqref="I2:I477">
    <cfRule type="expression" dxfId="3" priority="1">
      <formula>I2="Passed"</formula>
    </cfRule>
    <cfRule type="expression" dxfId="4" priority="2">
      <formula>I2="Failed"</formula>
    </cfRule>
    <cfRule type="expression" dxfId="5" priority="3">
      <formula>I2="Blocked"</formula>
    </cfRule>
    <cfRule type="expression" dxfId="6" priority="4">
      <formula>I2="In Progress"</formula>
    </cfRule>
    <cfRule type="expression" dxfId="7" priority="5">
      <formula>I2="Not Applicable"</formula>
    </cfRule>
  </conditionalFormatting>
  <dataValidations count="3">
    <dataValidation type="list" sqref="H2:H477">
      <formula1>"Local,Development,Staging,Production Smoke"</formula1>
    </dataValidation>
    <dataValidation type="list" sqref="I2:I477">
      <formula1>"Not Run,In Progress,Passed,Failed,Blocked,Not Applicable"</formula1>
    </dataValidation>
    <dataValidation type="list" sqref="O2:O477">
      <formula1>"Not Required,Pending,Passed,Failed"</formula1>
    </dataValidation>
  </dataValidations>
  <pageMargins left="0.7" right="0.7" top="0.75" bottom="0.75" header="0.3" footer="0.3"/>
  <tableParts count="1">
    <tablePart r:id="Rdcca692dfbd6455c"/>
  </tableParts>
</worksheet>
</file>

<file path=xl/worksheets/sheet5.xml><?xml version="1.0" encoding="utf-8"?>
<x:worksheet xmlns:x="http://schemas.openxmlformats.org/spreadsheetml/2006/main">
  <x:sheetFormatPr defaultRowHeight="15"/>
  <x:cols>
    <x:col min="1" max="1" width="13" hidden="0" customWidth="1"/>
    <x:col min="2" max="2" width="36" hidden="0" customWidth="1"/>
    <x:col min="3" max="3" width="27" hidden="0" customWidth="1"/>
    <x:col min="4" max="4" width="12" hidden="0" customWidth="1"/>
    <x:col min="5" max="5" width="14" hidden="0" customWidth="1"/>
    <x:col min="6" max="6" width="14" hidden="0" customWidth="1"/>
    <x:col min="7" max="7" width="14" hidden="0" customWidth="1"/>
    <x:col min="8" max="8" width="14" hidden="0" customWidth="1"/>
    <x:col min="9" max="9" width="42" hidden="0" customWidth="1"/>
    <x:col min="10" max="10" width="42" hidden="0" customWidth="1"/>
    <x:col min="11" max="11" width="42" hidden="0" customWidth="1"/>
    <x:col min="12" max="12" width="42" hidden="0" customWidth="1"/>
    <x:col min="13" max="13" width="18" hidden="0" customWidth="1"/>
    <x:col min="14" max="14" width="18" hidden="0" customWidth="1"/>
    <x:col min="15" max="15" width="14" hidden="0" customWidth="1"/>
    <x:col min="16" max="16" width="14" hidden="0" customWidth="1"/>
    <x:col min="17" max="17" width="14" hidden="0" customWidth="1"/>
    <x:col min="18" max="18" width="16" hidden="0" customWidth="1"/>
    <x:col min="19" max="19" width="26" hidden="0" customWidth="1"/>
    <x:col min="20" max="20" width="30" hidden="0" customWidth="1"/>
  </x:cols>
  <x:sheetData>
    <x:row r="1" ht="34" customHeight="1">
      <x:c r="A1" s="6" t="str">
        <x:v>Defect ID</x:v>
      </x:c>
      <x:c r="B1" s="6" t="str">
        <x:v>Title</x:v>
      </x:c>
      <x:c r="C1" s="6" t="str">
        <x:v>Area</x:v>
      </x:c>
      <x:c r="D1" s="6" t="str">
        <x:v>Test ID</x:v>
      </x:c>
      <x:c r="E1" s="6" t="str">
        <x:v>Severity</x:v>
      </x:c>
      <x:c r="F1" s="6" t="str">
        <x:v>Priority</x:v>
      </x:c>
      <x:c r="G1" s="6" t="str">
        <x:v>Status</x:v>
      </x:c>
      <x:c r="H1" s="6" t="str">
        <x:v>Environment</x:v>
      </x:c>
      <x:c r="I1" s="6" t="str">
        <x:v>Description</x:v>
      </x:c>
      <x:c r="J1" s="6" t="str">
        <x:v>Steps to Reproduce</x:v>
      </x:c>
      <x:c r="K1" s="6" t="str">
        <x:v>Expected</x:v>
      </x:c>
      <x:c r="L1" s="6" t="str">
        <x:v>Actual</x:v>
      </x:c>
      <x:c r="M1" s="6" t="str">
        <x:v>Reporter</x:v>
      </x:c>
      <x:c r="N1" s="6" t="str">
        <x:v>Owner</x:v>
      </x:c>
      <x:c r="O1" s="6" t="str">
        <x:v>Date Reported</x:v>
      </x:c>
      <x:c r="P1" s="6" t="str">
        <x:v>Target Fix</x:v>
      </x:c>
      <x:c r="Q1" s="6" t="str">
        <x:v>Resolved Date</x:v>
      </x:c>
      <x:c r="R1" s="6" t="str">
        <x:v>Retest Status</x:v>
      </x:c>
      <x:c r="S1" s="6" t="str">
        <x:v>External Link</x:v>
      </x:c>
      <x:c r="T1" s="6" t="str">
        <x:v>Notes</x:v>
      </x:c>
    </x:row>
    <x:row r="2">
      <x:c r="A2" s="14"/>
      <x:c r="B2" s="14"/>
      <x:c r="C2" s="14"/>
      <x:c r="D2" s="14"/>
      <x:c r="E2" s="14"/>
      <x:c r="F2" s="14"/>
      <x:c r="G2" s="14"/>
      <x:c r="H2" s="14"/>
      <x:c r="I2" s="14"/>
      <x:c r="J2" s="14"/>
      <x:c r="K2" s="14"/>
      <x:c r="L2" s="14"/>
      <x:c r="M2" s="14"/>
      <x:c r="N2" s="14"/>
      <x:c r="O2" s="17"/>
      <x:c r="P2" s="17"/>
      <x:c r="Q2" s="17"/>
      <x:c r="R2" s="14"/>
      <x:c r="S2" s="14"/>
      <x:c r="T2" s="14"/>
    </x:row>
    <x:row r="3">
      <x:c r="A3" s="14"/>
      <x:c r="B3" s="14"/>
      <x:c r="C3" s="14"/>
      <x:c r="D3" s="14"/>
      <x:c r="E3" s="14"/>
      <x:c r="F3" s="14"/>
      <x:c r="G3" s="14"/>
      <x:c r="H3" s="14"/>
      <x:c r="I3" s="14"/>
      <x:c r="J3" s="14"/>
      <x:c r="K3" s="14"/>
      <x:c r="L3" s="14"/>
      <x:c r="M3" s="14"/>
      <x:c r="N3" s="14"/>
      <x:c r="O3" s="17"/>
      <x:c r="P3" s="17"/>
      <x:c r="Q3" s="17"/>
      <x:c r="R3" s="14"/>
      <x:c r="S3" s="14"/>
      <x:c r="T3" s="14"/>
    </x:row>
    <x:row r="4">
      <x:c r="A4" s="14"/>
      <x:c r="B4" s="14"/>
      <x:c r="C4" s="14"/>
      <x:c r="D4" s="14"/>
      <x:c r="E4" s="14"/>
      <x:c r="F4" s="14"/>
      <x:c r="G4" s="14"/>
      <x:c r="H4" s="14"/>
      <x:c r="I4" s="14"/>
      <x:c r="J4" s="14"/>
      <x:c r="K4" s="14"/>
      <x:c r="L4" s="14"/>
      <x:c r="M4" s="14"/>
      <x:c r="N4" s="14"/>
      <x:c r="O4" s="17"/>
      <x:c r="P4" s="17"/>
      <x:c r="Q4" s="17"/>
      <x:c r="R4" s="14"/>
      <x:c r="S4" s="14"/>
      <x:c r="T4" s="14"/>
    </x:row>
    <x:row r="5">
      <x:c r="A5" s="14"/>
      <x:c r="B5" s="14"/>
      <x:c r="C5" s="14"/>
      <x:c r="D5" s="14"/>
      <x:c r="E5" s="14"/>
      <x:c r="F5" s="14"/>
      <x:c r="G5" s="14"/>
      <x:c r="H5" s="14"/>
      <x:c r="I5" s="14"/>
      <x:c r="J5" s="14"/>
      <x:c r="K5" s="14"/>
      <x:c r="L5" s="14"/>
      <x:c r="M5" s="14"/>
      <x:c r="N5" s="14"/>
      <x:c r="O5" s="17"/>
      <x:c r="P5" s="17"/>
      <x:c r="Q5" s="17"/>
      <x:c r="R5" s="14"/>
      <x:c r="S5" s="14"/>
      <x:c r="T5" s="14"/>
    </x:row>
    <x:row r="6">
      <x:c r="A6" s="14"/>
      <x:c r="B6" s="14"/>
      <x:c r="C6" s="14"/>
      <x:c r="D6" s="14"/>
      <x:c r="E6" s="14"/>
      <x:c r="F6" s="14"/>
      <x:c r="G6" s="14"/>
      <x:c r="H6" s="14"/>
      <x:c r="I6" s="14"/>
      <x:c r="J6" s="14"/>
      <x:c r="K6" s="14"/>
      <x:c r="L6" s="14"/>
      <x:c r="M6" s="14"/>
      <x:c r="N6" s="14"/>
      <x:c r="O6" s="17"/>
      <x:c r="P6" s="17"/>
      <x:c r="Q6" s="17"/>
      <x:c r="R6" s="14"/>
      <x:c r="S6" s="14"/>
      <x:c r="T6" s="14"/>
    </x:row>
    <x:row r="7">
      <x:c r="A7" s="14"/>
      <x:c r="B7" s="14"/>
      <x:c r="C7" s="14"/>
      <x:c r="D7" s="14"/>
      <x:c r="E7" s="14"/>
      <x:c r="F7" s="14"/>
      <x:c r="G7" s="14"/>
      <x:c r="H7" s="14"/>
      <x:c r="I7" s="14"/>
      <x:c r="J7" s="14"/>
      <x:c r="K7" s="14"/>
      <x:c r="L7" s="14"/>
      <x:c r="M7" s="14"/>
      <x:c r="N7" s="14"/>
      <x:c r="O7" s="17"/>
      <x:c r="P7" s="17"/>
      <x:c r="Q7" s="17"/>
      <x:c r="R7" s="14"/>
      <x:c r="S7" s="14"/>
      <x:c r="T7" s="14"/>
    </x:row>
    <x:row r="8">
      <x:c r="A8" s="14"/>
      <x:c r="B8" s="14"/>
      <x:c r="C8" s="14"/>
      <x:c r="D8" s="14"/>
      <x:c r="E8" s="14"/>
      <x:c r="F8" s="14"/>
      <x:c r="G8" s="14"/>
      <x:c r="H8" s="14"/>
      <x:c r="I8" s="14"/>
      <x:c r="J8" s="14"/>
      <x:c r="K8" s="14"/>
      <x:c r="L8" s="14"/>
      <x:c r="M8" s="14"/>
      <x:c r="N8" s="14"/>
      <x:c r="O8" s="17"/>
      <x:c r="P8" s="17"/>
      <x:c r="Q8" s="17"/>
      <x:c r="R8" s="14"/>
      <x:c r="S8" s="14"/>
      <x:c r="T8" s="14"/>
    </x:row>
    <x:row r="9">
      <x:c r="A9" s="14"/>
      <x:c r="B9" s="14"/>
      <x:c r="C9" s="14"/>
      <x:c r="D9" s="14"/>
      <x:c r="E9" s="14"/>
      <x:c r="F9" s="14"/>
      <x:c r="G9" s="14"/>
      <x:c r="H9" s="14"/>
      <x:c r="I9" s="14"/>
      <x:c r="J9" s="14"/>
      <x:c r="K9" s="14"/>
      <x:c r="L9" s="14"/>
      <x:c r="M9" s="14"/>
      <x:c r="N9" s="14"/>
      <x:c r="O9" s="17"/>
      <x:c r="P9" s="17"/>
      <x:c r="Q9" s="17"/>
      <x:c r="R9" s="14"/>
      <x:c r="S9" s="14"/>
      <x:c r="T9" s="14"/>
    </x:row>
    <x:row r="10">
      <x:c r="A10" s="14"/>
      <x:c r="B10" s="14"/>
      <x:c r="C10" s="14"/>
      <x:c r="D10" s="14"/>
      <x:c r="E10" s="14"/>
      <x:c r="F10" s="14"/>
      <x:c r="G10" s="14"/>
      <x:c r="H10" s="14"/>
      <x:c r="I10" s="14"/>
      <x:c r="J10" s="14"/>
      <x:c r="K10" s="14"/>
      <x:c r="L10" s="14"/>
      <x:c r="M10" s="14"/>
      <x:c r="N10" s="14"/>
      <x:c r="O10" s="17"/>
      <x:c r="P10" s="17"/>
      <x:c r="Q10" s="17"/>
      <x:c r="R10" s="14"/>
      <x:c r="S10" s="14"/>
      <x:c r="T10" s="14"/>
    </x:row>
    <x:row r="11">
      <x:c r="A11" s="14"/>
      <x:c r="B11" s="14"/>
      <x:c r="C11" s="14"/>
      <x:c r="D11" s="14"/>
      <x:c r="E11" s="14"/>
      <x:c r="F11" s="14"/>
      <x:c r="G11" s="14"/>
      <x:c r="H11" s="14"/>
      <x:c r="I11" s="14"/>
      <x:c r="J11" s="14"/>
      <x:c r="K11" s="14"/>
      <x:c r="L11" s="14"/>
      <x:c r="M11" s="14"/>
      <x:c r="N11" s="14"/>
      <x:c r="O11" s="17"/>
      <x:c r="P11" s="17"/>
      <x:c r="Q11" s="17"/>
      <x:c r="R11" s="14"/>
      <x:c r="S11" s="14"/>
      <x:c r="T11" s="14"/>
    </x:row>
    <x:row r="12">
      <x:c r="A12" s="14"/>
      <x:c r="B12" s="14"/>
      <x:c r="C12" s="14"/>
      <x:c r="D12" s="14"/>
      <x:c r="E12" s="14"/>
      <x:c r="F12" s="14"/>
      <x:c r="G12" s="14"/>
      <x:c r="H12" s="14"/>
      <x:c r="I12" s="14"/>
      <x:c r="J12" s="14"/>
      <x:c r="K12" s="14"/>
      <x:c r="L12" s="14"/>
      <x:c r="M12" s="14"/>
      <x:c r="N12" s="14"/>
      <x:c r="O12" s="17"/>
      <x:c r="P12" s="17"/>
      <x:c r="Q12" s="17"/>
      <x:c r="R12" s="14"/>
      <x:c r="S12" s="14"/>
      <x:c r="T12" s="14"/>
    </x:row>
    <x:row r="13">
      <x:c r="A13" s="14"/>
      <x:c r="B13" s="14"/>
      <x:c r="C13" s="14"/>
      <x:c r="D13" s="14"/>
      <x:c r="E13" s="14"/>
      <x:c r="F13" s="14"/>
      <x:c r="G13" s="14"/>
      <x:c r="H13" s="14"/>
      <x:c r="I13" s="14"/>
      <x:c r="J13" s="14"/>
      <x:c r="K13" s="14"/>
      <x:c r="L13" s="14"/>
      <x:c r="M13" s="14"/>
      <x:c r="N13" s="14"/>
      <x:c r="O13" s="17"/>
      <x:c r="P13" s="17"/>
      <x:c r="Q13" s="17"/>
      <x:c r="R13" s="14"/>
      <x:c r="S13" s="14"/>
      <x:c r="T13" s="14"/>
    </x:row>
    <x:row r="14">
      <x:c r="A14" s="14"/>
      <x:c r="B14" s="14"/>
      <x:c r="C14" s="14"/>
      <x:c r="D14" s="14"/>
      <x:c r="E14" s="14"/>
      <x:c r="F14" s="14"/>
      <x:c r="G14" s="14"/>
      <x:c r="H14" s="14"/>
      <x:c r="I14" s="14"/>
      <x:c r="J14" s="14"/>
      <x:c r="K14" s="14"/>
      <x:c r="L14" s="14"/>
      <x:c r="M14" s="14"/>
      <x:c r="N14" s="14"/>
      <x:c r="O14" s="17"/>
      <x:c r="P14" s="17"/>
      <x:c r="Q14" s="17"/>
      <x:c r="R14" s="14"/>
      <x:c r="S14" s="14"/>
      <x:c r="T14" s="14"/>
    </x:row>
    <x:row r="15">
      <x:c r="A15" s="14"/>
      <x:c r="B15" s="14"/>
      <x:c r="C15" s="14"/>
      <x:c r="D15" s="14"/>
      <x:c r="E15" s="14"/>
      <x:c r="F15" s="14"/>
      <x:c r="G15" s="14"/>
      <x:c r="H15" s="14"/>
      <x:c r="I15" s="14"/>
      <x:c r="J15" s="14"/>
      <x:c r="K15" s="14"/>
      <x:c r="L15" s="14"/>
      <x:c r="M15" s="14"/>
      <x:c r="N15" s="14"/>
      <x:c r="O15" s="17"/>
      <x:c r="P15" s="17"/>
      <x:c r="Q15" s="17"/>
      <x:c r="R15" s="14"/>
      <x:c r="S15" s="14"/>
      <x:c r="T15" s="14"/>
    </x:row>
    <x:row r="16">
      <x:c r="A16" s="14"/>
      <x:c r="B16" s="14"/>
      <x:c r="C16" s="14"/>
      <x:c r="D16" s="14"/>
      <x:c r="E16" s="14"/>
      <x:c r="F16" s="14"/>
      <x:c r="G16" s="14"/>
      <x:c r="H16" s="14"/>
      <x:c r="I16" s="14"/>
      <x:c r="J16" s="14"/>
      <x:c r="K16" s="14"/>
      <x:c r="L16" s="14"/>
      <x:c r="M16" s="14"/>
      <x:c r="N16" s="14"/>
      <x:c r="O16" s="17"/>
      <x:c r="P16" s="17"/>
      <x:c r="Q16" s="17"/>
      <x:c r="R16" s="14"/>
      <x:c r="S16" s="14"/>
      <x:c r="T16" s="14"/>
    </x:row>
    <x:row r="17">
      <x:c r="A17" s="14"/>
      <x:c r="B17" s="14"/>
      <x:c r="C17" s="14"/>
      <x:c r="D17" s="14"/>
      <x:c r="E17" s="14"/>
      <x:c r="F17" s="14"/>
      <x:c r="G17" s="14"/>
      <x:c r="H17" s="14"/>
      <x:c r="I17" s="14"/>
      <x:c r="J17" s="14"/>
      <x:c r="K17" s="14"/>
      <x:c r="L17" s="14"/>
      <x:c r="M17" s="14"/>
      <x:c r="N17" s="14"/>
      <x:c r="O17" s="17"/>
      <x:c r="P17" s="17"/>
      <x:c r="Q17" s="17"/>
      <x:c r="R17" s="14"/>
      <x:c r="S17" s="14"/>
      <x:c r="T17" s="14"/>
    </x:row>
    <x:row r="18">
      <x:c r="A18" s="14"/>
      <x:c r="B18" s="14"/>
      <x:c r="C18" s="14"/>
      <x:c r="D18" s="14"/>
      <x:c r="E18" s="14"/>
      <x:c r="F18" s="14"/>
      <x:c r="G18" s="14"/>
      <x:c r="H18" s="14"/>
      <x:c r="I18" s="14"/>
      <x:c r="J18" s="14"/>
      <x:c r="K18" s="14"/>
      <x:c r="L18" s="14"/>
      <x:c r="M18" s="14"/>
      <x:c r="N18" s="14"/>
      <x:c r="O18" s="17"/>
      <x:c r="P18" s="17"/>
      <x:c r="Q18" s="17"/>
      <x:c r="R18" s="14"/>
      <x:c r="S18" s="14"/>
      <x:c r="T18" s="14"/>
    </x:row>
    <x:row r="19">
      <x:c r="A19" s="14"/>
      <x:c r="B19" s="14"/>
      <x:c r="C19" s="14"/>
      <x:c r="D19" s="14"/>
      <x:c r="E19" s="14"/>
      <x:c r="F19" s="14"/>
      <x:c r="G19" s="14"/>
      <x:c r="H19" s="14"/>
      <x:c r="I19" s="14"/>
      <x:c r="J19" s="14"/>
      <x:c r="K19" s="14"/>
      <x:c r="L19" s="14"/>
      <x:c r="M19" s="14"/>
      <x:c r="N19" s="14"/>
      <x:c r="O19" s="17"/>
      <x:c r="P19" s="17"/>
      <x:c r="Q19" s="17"/>
      <x:c r="R19" s="14"/>
      <x:c r="S19" s="14"/>
      <x:c r="T19" s="14"/>
    </x:row>
    <x:row r="20">
      <x:c r="A20" s="14"/>
      <x:c r="B20" s="14"/>
      <x:c r="C20" s="14"/>
      <x:c r="D20" s="14"/>
      <x:c r="E20" s="14"/>
      <x:c r="F20" s="14"/>
      <x:c r="G20" s="14"/>
      <x:c r="H20" s="14"/>
      <x:c r="I20" s="14"/>
      <x:c r="J20" s="14"/>
      <x:c r="K20" s="14"/>
      <x:c r="L20" s="14"/>
      <x:c r="M20" s="14"/>
      <x:c r="N20" s="14"/>
      <x:c r="O20" s="17"/>
      <x:c r="P20" s="17"/>
      <x:c r="Q20" s="17"/>
      <x:c r="R20" s="14"/>
      <x:c r="S20" s="14"/>
      <x:c r="T20" s="14"/>
    </x:row>
    <x:row r="21">
      <x:c r="A21" s="14"/>
      <x:c r="B21" s="14"/>
      <x:c r="C21" s="14"/>
      <x:c r="D21" s="14"/>
      <x:c r="E21" s="14"/>
      <x:c r="F21" s="14"/>
      <x:c r="G21" s="14"/>
      <x:c r="H21" s="14"/>
      <x:c r="I21" s="14"/>
      <x:c r="J21" s="14"/>
      <x:c r="K21" s="14"/>
      <x:c r="L21" s="14"/>
      <x:c r="M21" s="14"/>
      <x:c r="N21" s="14"/>
      <x:c r="O21" s="17"/>
      <x:c r="P21" s="17"/>
      <x:c r="Q21" s="17"/>
      <x:c r="R21" s="14"/>
      <x:c r="S21" s="14"/>
      <x:c r="T21" s="14"/>
    </x:row>
    <x:row r="22">
      <x:c r="A22" s="14"/>
      <x:c r="B22" s="14"/>
      <x:c r="C22" s="14"/>
      <x:c r="D22" s="14"/>
      <x:c r="E22" s="14"/>
      <x:c r="F22" s="14"/>
      <x:c r="G22" s="14"/>
      <x:c r="H22" s="14"/>
      <x:c r="I22" s="14"/>
      <x:c r="J22" s="14"/>
      <x:c r="K22" s="14"/>
      <x:c r="L22" s="14"/>
      <x:c r="M22" s="14"/>
      <x:c r="N22" s="14"/>
      <x:c r="O22" s="17"/>
      <x:c r="P22" s="17"/>
      <x:c r="Q22" s="17"/>
      <x:c r="R22" s="14"/>
      <x:c r="S22" s="14"/>
      <x:c r="T22" s="14"/>
    </x:row>
    <x:row r="23">
      <x:c r="A23" s="14"/>
      <x:c r="B23" s="14"/>
      <x:c r="C23" s="14"/>
      <x:c r="D23" s="14"/>
      <x:c r="E23" s="14"/>
      <x:c r="F23" s="14"/>
      <x:c r="G23" s="14"/>
      <x:c r="H23" s="14"/>
      <x:c r="I23" s="14"/>
      <x:c r="J23" s="14"/>
      <x:c r="K23" s="14"/>
      <x:c r="L23" s="14"/>
      <x:c r="M23" s="14"/>
      <x:c r="N23" s="14"/>
      <x:c r="O23" s="17"/>
      <x:c r="P23" s="17"/>
      <x:c r="Q23" s="17"/>
      <x:c r="R23" s="14"/>
      <x:c r="S23" s="14"/>
      <x:c r="T23" s="14"/>
    </x:row>
    <x:row r="24">
      <x:c r="A24" s="14"/>
      <x:c r="B24" s="14"/>
      <x:c r="C24" s="14"/>
      <x:c r="D24" s="14"/>
      <x:c r="E24" s="14"/>
      <x:c r="F24" s="14"/>
      <x:c r="G24" s="14"/>
      <x:c r="H24" s="14"/>
      <x:c r="I24" s="14"/>
      <x:c r="J24" s="14"/>
      <x:c r="K24" s="14"/>
      <x:c r="L24" s="14"/>
      <x:c r="M24" s="14"/>
      <x:c r="N24" s="14"/>
      <x:c r="O24" s="17"/>
      <x:c r="P24" s="17"/>
      <x:c r="Q24" s="17"/>
      <x:c r="R24" s="14"/>
      <x:c r="S24" s="14"/>
      <x:c r="T24" s="14"/>
    </x:row>
    <x:row r="25">
      <x:c r="A25" s="14"/>
      <x:c r="B25" s="14"/>
      <x:c r="C25" s="14"/>
      <x:c r="D25" s="14"/>
      <x:c r="E25" s="14"/>
      <x:c r="F25" s="14"/>
      <x:c r="G25" s="14"/>
      <x:c r="H25" s="14"/>
      <x:c r="I25" s="14"/>
      <x:c r="J25" s="14"/>
      <x:c r="K25" s="14"/>
      <x:c r="L25" s="14"/>
      <x:c r="M25" s="14"/>
      <x:c r="N25" s="14"/>
      <x:c r="O25" s="17"/>
      <x:c r="P25" s="17"/>
      <x:c r="Q25" s="17"/>
      <x:c r="R25" s="14"/>
      <x:c r="S25" s="14"/>
      <x:c r="T25" s="14"/>
    </x:row>
    <x:row r="26">
      <x:c r="A26" s="14"/>
      <x:c r="B26" s="14"/>
      <x:c r="C26" s="14"/>
      <x:c r="D26" s="14"/>
      <x:c r="E26" s="14"/>
      <x:c r="F26" s="14"/>
      <x:c r="G26" s="14"/>
      <x:c r="H26" s="14"/>
      <x:c r="I26" s="14"/>
      <x:c r="J26" s="14"/>
      <x:c r="K26" s="14"/>
      <x:c r="L26" s="14"/>
      <x:c r="M26" s="14"/>
      <x:c r="N26" s="14"/>
      <x:c r="O26" s="17"/>
      <x:c r="P26" s="17"/>
      <x:c r="Q26" s="17"/>
      <x:c r="R26" s="14"/>
      <x:c r="S26" s="14"/>
      <x:c r="T26" s="14"/>
    </x:row>
    <x:row r="27">
      <x:c r="A27" s="14"/>
      <x:c r="B27" s="14"/>
      <x:c r="C27" s="14"/>
      <x:c r="D27" s="14"/>
      <x:c r="E27" s="14"/>
      <x:c r="F27" s="14"/>
      <x:c r="G27" s="14"/>
      <x:c r="H27" s="14"/>
      <x:c r="I27" s="14"/>
      <x:c r="J27" s="14"/>
      <x:c r="K27" s="14"/>
      <x:c r="L27" s="14"/>
      <x:c r="M27" s="14"/>
      <x:c r="N27" s="14"/>
      <x:c r="O27" s="17"/>
      <x:c r="P27" s="17"/>
      <x:c r="Q27" s="17"/>
      <x:c r="R27" s="14"/>
      <x:c r="S27" s="14"/>
      <x:c r="T27" s="14"/>
    </x:row>
    <x:row r="28">
      <x:c r="A28" s="14"/>
      <x:c r="B28" s="14"/>
      <x:c r="C28" s="14"/>
      <x:c r="D28" s="14"/>
      <x:c r="E28" s="14"/>
      <x:c r="F28" s="14"/>
      <x:c r="G28" s="14"/>
      <x:c r="H28" s="14"/>
      <x:c r="I28" s="14"/>
      <x:c r="J28" s="14"/>
      <x:c r="K28" s="14"/>
      <x:c r="L28" s="14"/>
      <x:c r="M28" s="14"/>
      <x:c r="N28" s="14"/>
      <x:c r="O28" s="17"/>
      <x:c r="P28" s="17"/>
      <x:c r="Q28" s="17"/>
      <x:c r="R28" s="14"/>
      <x:c r="S28" s="14"/>
      <x:c r="T28" s="14"/>
    </x:row>
    <x:row r="29">
      <x:c r="A29" s="14"/>
      <x:c r="B29" s="14"/>
      <x:c r="C29" s="14"/>
      <x:c r="D29" s="14"/>
      <x:c r="E29" s="14"/>
      <x:c r="F29" s="14"/>
      <x:c r="G29" s="14"/>
      <x:c r="H29" s="14"/>
      <x:c r="I29" s="14"/>
      <x:c r="J29" s="14"/>
      <x:c r="K29" s="14"/>
      <x:c r="L29" s="14"/>
      <x:c r="M29" s="14"/>
      <x:c r="N29" s="14"/>
      <x:c r="O29" s="17"/>
      <x:c r="P29" s="17"/>
      <x:c r="Q29" s="17"/>
      <x:c r="R29" s="14"/>
      <x:c r="S29" s="14"/>
      <x:c r="T29" s="14"/>
    </x:row>
    <x:row r="30">
      <x:c r="A30" s="14"/>
      <x:c r="B30" s="14"/>
      <x:c r="C30" s="14"/>
      <x:c r="D30" s="14"/>
      <x:c r="E30" s="14"/>
      <x:c r="F30" s="14"/>
      <x:c r="G30" s="14"/>
      <x:c r="H30" s="14"/>
      <x:c r="I30" s="14"/>
      <x:c r="J30" s="14"/>
      <x:c r="K30" s="14"/>
      <x:c r="L30" s="14"/>
      <x:c r="M30" s="14"/>
      <x:c r="N30" s="14"/>
      <x:c r="O30" s="17"/>
      <x:c r="P30" s="17"/>
      <x:c r="Q30" s="17"/>
      <x:c r="R30" s="14"/>
      <x:c r="S30" s="14"/>
      <x:c r="T30" s="14"/>
    </x:row>
    <x:row r="31">
      <x:c r="A31" s="14"/>
      <x:c r="B31" s="14"/>
      <x:c r="C31" s="14"/>
      <x:c r="D31" s="14"/>
      <x:c r="E31" s="14"/>
      <x:c r="F31" s="14"/>
      <x:c r="G31" s="14"/>
      <x:c r="H31" s="14"/>
      <x:c r="I31" s="14"/>
      <x:c r="J31" s="14"/>
      <x:c r="K31" s="14"/>
      <x:c r="L31" s="14"/>
      <x:c r="M31" s="14"/>
      <x:c r="N31" s="14"/>
      <x:c r="O31" s="17"/>
      <x:c r="P31" s="17"/>
      <x:c r="Q31" s="17"/>
      <x:c r="R31" s="14"/>
      <x:c r="S31" s="14"/>
      <x:c r="T31" s="14"/>
    </x:row>
    <x:row r="32">
      <x:c r="A32" s="14"/>
      <x:c r="B32" s="14"/>
      <x:c r="C32" s="14"/>
      <x:c r="D32" s="14"/>
      <x:c r="E32" s="14"/>
      <x:c r="F32" s="14"/>
      <x:c r="G32" s="14"/>
      <x:c r="H32" s="14"/>
      <x:c r="I32" s="14"/>
      <x:c r="J32" s="14"/>
      <x:c r="K32" s="14"/>
      <x:c r="L32" s="14"/>
      <x:c r="M32" s="14"/>
      <x:c r="N32" s="14"/>
      <x:c r="O32" s="17"/>
      <x:c r="P32" s="17"/>
      <x:c r="Q32" s="17"/>
      <x:c r="R32" s="14"/>
      <x:c r="S32" s="14"/>
      <x:c r="T32" s="14"/>
    </x:row>
    <x:row r="33">
      <x:c r="A33" s="14"/>
      <x:c r="B33" s="14"/>
      <x:c r="C33" s="14"/>
      <x:c r="D33" s="14"/>
      <x:c r="E33" s="14"/>
      <x:c r="F33" s="14"/>
      <x:c r="G33" s="14"/>
      <x:c r="H33" s="14"/>
      <x:c r="I33" s="14"/>
      <x:c r="J33" s="14"/>
      <x:c r="K33" s="14"/>
      <x:c r="L33" s="14"/>
      <x:c r="M33" s="14"/>
      <x:c r="N33" s="14"/>
      <x:c r="O33" s="17"/>
      <x:c r="P33" s="17"/>
      <x:c r="Q33" s="17"/>
      <x:c r="R33" s="14"/>
      <x:c r="S33" s="14"/>
      <x:c r="T33" s="14"/>
    </x:row>
    <x:row r="34">
      <x:c r="A34" s="14"/>
      <x:c r="B34" s="14"/>
      <x:c r="C34" s="14"/>
      <x:c r="D34" s="14"/>
      <x:c r="E34" s="14"/>
      <x:c r="F34" s="14"/>
      <x:c r="G34" s="14"/>
      <x:c r="H34" s="14"/>
      <x:c r="I34" s="14"/>
      <x:c r="J34" s="14"/>
      <x:c r="K34" s="14"/>
      <x:c r="L34" s="14"/>
      <x:c r="M34" s="14"/>
      <x:c r="N34" s="14"/>
      <x:c r="O34" s="17"/>
      <x:c r="P34" s="17"/>
      <x:c r="Q34" s="17"/>
      <x:c r="R34" s="14"/>
      <x:c r="S34" s="14"/>
      <x:c r="T34" s="14"/>
    </x:row>
    <x:row r="35">
      <x:c r="A35" s="14"/>
      <x:c r="B35" s="14"/>
      <x:c r="C35" s="14"/>
      <x:c r="D35" s="14"/>
      <x:c r="E35" s="14"/>
      <x:c r="F35" s="14"/>
      <x:c r="G35" s="14"/>
      <x:c r="H35" s="14"/>
      <x:c r="I35" s="14"/>
      <x:c r="J35" s="14"/>
      <x:c r="K35" s="14"/>
      <x:c r="L35" s="14"/>
      <x:c r="M35" s="14"/>
      <x:c r="N35" s="14"/>
      <x:c r="O35" s="17"/>
      <x:c r="P35" s="17"/>
      <x:c r="Q35" s="17"/>
      <x:c r="R35" s="14"/>
      <x:c r="S35" s="14"/>
      <x:c r="T35" s="14"/>
    </x:row>
    <x:row r="36">
      <x:c r="A36" s="14"/>
      <x:c r="B36" s="14"/>
      <x:c r="C36" s="14"/>
      <x:c r="D36" s="14"/>
      <x:c r="E36" s="14"/>
      <x:c r="F36" s="14"/>
      <x:c r="G36" s="14"/>
      <x:c r="H36" s="14"/>
      <x:c r="I36" s="14"/>
      <x:c r="J36" s="14"/>
      <x:c r="K36" s="14"/>
      <x:c r="L36" s="14"/>
      <x:c r="M36" s="14"/>
      <x:c r="N36" s="14"/>
      <x:c r="O36" s="17"/>
      <x:c r="P36" s="17"/>
      <x:c r="Q36" s="17"/>
      <x:c r="R36" s="14"/>
      <x:c r="S36" s="14"/>
      <x:c r="T36" s="14"/>
    </x:row>
    <x:row r="37">
      <x:c r="A37" s="14"/>
      <x:c r="B37" s="14"/>
      <x:c r="C37" s="14"/>
      <x:c r="D37" s="14"/>
      <x:c r="E37" s="14"/>
      <x:c r="F37" s="14"/>
      <x:c r="G37" s="14"/>
      <x:c r="H37" s="14"/>
      <x:c r="I37" s="14"/>
      <x:c r="J37" s="14"/>
      <x:c r="K37" s="14"/>
      <x:c r="L37" s="14"/>
      <x:c r="M37" s="14"/>
      <x:c r="N37" s="14"/>
      <x:c r="O37" s="17"/>
      <x:c r="P37" s="17"/>
      <x:c r="Q37" s="17"/>
      <x:c r="R37" s="14"/>
      <x:c r="S37" s="14"/>
      <x:c r="T37" s="14"/>
    </x:row>
    <x:row r="38">
      <x:c r="A38" s="14"/>
      <x:c r="B38" s="14"/>
      <x:c r="C38" s="14"/>
      <x:c r="D38" s="14"/>
      <x:c r="E38" s="14"/>
      <x:c r="F38" s="14"/>
      <x:c r="G38" s="14"/>
      <x:c r="H38" s="14"/>
      <x:c r="I38" s="14"/>
      <x:c r="J38" s="14"/>
      <x:c r="K38" s="14"/>
      <x:c r="L38" s="14"/>
      <x:c r="M38" s="14"/>
      <x:c r="N38" s="14"/>
      <x:c r="O38" s="17"/>
      <x:c r="P38" s="17"/>
      <x:c r="Q38" s="17"/>
      <x:c r="R38" s="14"/>
      <x:c r="S38" s="14"/>
      <x:c r="T38" s="14"/>
    </x:row>
    <x:row r="39">
      <x:c r="A39" s="14"/>
      <x:c r="B39" s="14"/>
      <x:c r="C39" s="14"/>
      <x:c r="D39" s="14"/>
      <x:c r="E39" s="14"/>
      <x:c r="F39" s="14"/>
      <x:c r="G39" s="14"/>
      <x:c r="H39" s="14"/>
      <x:c r="I39" s="14"/>
      <x:c r="J39" s="14"/>
      <x:c r="K39" s="14"/>
      <x:c r="L39" s="14"/>
      <x:c r="M39" s="14"/>
      <x:c r="N39" s="14"/>
      <x:c r="O39" s="17"/>
      <x:c r="P39" s="17"/>
      <x:c r="Q39" s="17"/>
      <x:c r="R39" s="14"/>
      <x:c r="S39" s="14"/>
      <x:c r="T39" s="14"/>
    </x:row>
    <x:row r="40">
      <x:c r="A40" s="14"/>
      <x:c r="B40" s="14"/>
      <x:c r="C40" s="14"/>
      <x:c r="D40" s="14"/>
      <x:c r="E40" s="14"/>
      <x:c r="F40" s="14"/>
      <x:c r="G40" s="14"/>
      <x:c r="H40" s="14"/>
      <x:c r="I40" s="14"/>
      <x:c r="J40" s="14"/>
      <x:c r="K40" s="14"/>
      <x:c r="L40" s="14"/>
      <x:c r="M40" s="14"/>
      <x:c r="N40" s="14"/>
      <x:c r="O40" s="17"/>
      <x:c r="P40" s="17"/>
      <x:c r="Q40" s="17"/>
      <x:c r="R40" s="14"/>
      <x:c r="S40" s="14"/>
      <x:c r="T40" s="14"/>
    </x:row>
    <x:row r="41">
      <x:c r="A41" s="14"/>
      <x:c r="B41" s="14"/>
      <x:c r="C41" s="14"/>
      <x:c r="D41" s="14"/>
      <x:c r="E41" s="14"/>
      <x:c r="F41" s="14"/>
      <x:c r="G41" s="14"/>
      <x:c r="H41" s="14"/>
      <x:c r="I41" s="14"/>
      <x:c r="J41" s="14"/>
      <x:c r="K41" s="14"/>
      <x:c r="L41" s="14"/>
      <x:c r="M41" s="14"/>
      <x:c r="N41" s="14"/>
      <x:c r="O41" s="17"/>
      <x:c r="P41" s="17"/>
      <x:c r="Q41" s="17"/>
      <x:c r="R41" s="14"/>
      <x:c r="S41" s="14"/>
      <x:c r="T41" s="14"/>
    </x:row>
    <x:row r="42">
      <x:c r="A42" s="14"/>
      <x:c r="B42" s="14"/>
      <x:c r="C42" s="14"/>
      <x:c r="D42" s="14"/>
      <x:c r="E42" s="14"/>
      <x:c r="F42" s="14"/>
      <x:c r="G42" s="14"/>
      <x:c r="H42" s="14"/>
      <x:c r="I42" s="14"/>
      <x:c r="J42" s="14"/>
      <x:c r="K42" s="14"/>
      <x:c r="L42" s="14"/>
      <x:c r="M42" s="14"/>
      <x:c r="N42" s="14"/>
      <x:c r="O42" s="17"/>
      <x:c r="P42" s="17"/>
      <x:c r="Q42" s="17"/>
      <x:c r="R42" s="14"/>
      <x:c r="S42" s="14"/>
      <x:c r="T42" s="14"/>
    </x:row>
    <x:row r="43">
      <x:c r="A43" s="14"/>
      <x:c r="B43" s="14"/>
      <x:c r="C43" s="14"/>
      <x:c r="D43" s="14"/>
      <x:c r="E43" s="14"/>
      <x:c r="F43" s="14"/>
      <x:c r="G43" s="14"/>
      <x:c r="H43" s="14"/>
      <x:c r="I43" s="14"/>
      <x:c r="J43" s="14"/>
      <x:c r="K43" s="14"/>
      <x:c r="L43" s="14"/>
      <x:c r="M43" s="14"/>
      <x:c r="N43" s="14"/>
      <x:c r="O43" s="17"/>
      <x:c r="P43" s="17"/>
      <x:c r="Q43" s="17"/>
      <x:c r="R43" s="14"/>
      <x:c r="S43" s="14"/>
      <x:c r="T43" s="14"/>
    </x:row>
    <x:row r="44">
      <x:c r="A44" s="14"/>
      <x:c r="B44" s="14"/>
      <x:c r="C44" s="14"/>
      <x:c r="D44" s="14"/>
      <x:c r="E44" s="14"/>
      <x:c r="F44" s="14"/>
      <x:c r="G44" s="14"/>
      <x:c r="H44" s="14"/>
      <x:c r="I44" s="14"/>
      <x:c r="J44" s="14"/>
      <x:c r="K44" s="14"/>
      <x:c r="L44" s="14"/>
      <x:c r="M44" s="14"/>
      <x:c r="N44" s="14"/>
      <x:c r="O44" s="17"/>
      <x:c r="P44" s="17"/>
      <x:c r="Q44" s="17"/>
      <x:c r="R44" s="14"/>
      <x:c r="S44" s="14"/>
      <x:c r="T44" s="14"/>
    </x:row>
    <x:row r="45">
      <x:c r="A45" s="14"/>
      <x:c r="B45" s="14"/>
      <x:c r="C45" s="14"/>
      <x:c r="D45" s="14"/>
      <x:c r="E45" s="14"/>
      <x:c r="F45" s="14"/>
      <x:c r="G45" s="14"/>
      <x:c r="H45" s="14"/>
      <x:c r="I45" s="14"/>
      <x:c r="J45" s="14"/>
      <x:c r="K45" s="14"/>
      <x:c r="L45" s="14"/>
      <x:c r="M45" s="14"/>
      <x:c r="N45" s="14"/>
      <x:c r="O45" s="17"/>
      <x:c r="P45" s="17"/>
      <x:c r="Q45" s="17"/>
      <x:c r="R45" s="14"/>
      <x:c r="S45" s="14"/>
      <x:c r="T45" s="14"/>
    </x:row>
    <x:row r="46">
      <x:c r="A46" s="14"/>
      <x:c r="B46" s="14"/>
      <x:c r="C46" s="14"/>
      <x:c r="D46" s="14"/>
      <x:c r="E46" s="14"/>
      <x:c r="F46" s="14"/>
      <x:c r="G46" s="14"/>
      <x:c r="H46" s="14"/>
      <x:c r="I46" s="14"/>
      <x:c r="J46" s="14"/>
      <x:c r="K46" s="14"/>
      <x:c r="L46" s="14"/>
      <x:c r="M46" s="14"/>
      <x:c r="N46" s="14"/>
      <x:c r="O46" s="17"/>
      <x:c r="P46" s="17"/>
      <x:c r="Q46" s="17"/>
      <x:c r="R46" s="14"/>
      <x:c r="S46" s="14"/>
      <x:c r="T46" s="14"/>
    </x:row>
    <x:row r="47">
      <x:c r="A47" s="14"/>
      <x:c r="B47" s="14"/>
      <x:c r="C47" s="14"/>
      <x:c r="D47" s="14"/>
      <x:c r="E47" s="14"/>
      <x:c r="F47" s="14"/>
      <x:c r="G47" s="14"/>
      <x:c r="H47" s="14"/>
      <x:c r="I47" s="14"/>
      <x:c r="J47" s="14"/>
      <x:c r="K47" s="14"/>
      <x:c r="L47" s="14"/>
      <x:c r="M47" s="14"/>
      <x:c r="N47" s="14"/>
      <x:c r="O47" s="17"/>
      <x:c r="P47" s="17"/>
      <x:c r="Q47" s="17"/>
      <x:c r="R47" s="14"/>
      <x:c r="S47" s="14"/>
      <x:c r="T47" s="14"/>
    </x:row>
    <x:row r="48">
      <x:c r="A48" s="14"/>
      <x:c r="B48" s="14"/>
      <x:c r="C48" s="14"/>
      <x:c r="D48" s="14"/>
      <x:c r="E48" s="14"/>
      <x:c r="F48" s="14"/>
      <x:c r="G48" s="14"/>
      <x:c r="H48" s="14"/>
      <x:c r="I48" s="14"/>
      <x:c r="J48" s="14"/>
      <x:c r="K48" s="14"/>
      <x:c r="L48" s="14"/>
      <x:c r="M48" s="14"/>
      <x:c r="N48" s="14"/>
      <x:c r="O48" s="17"/>
      <x:c r="P48" s="17"/>
      <x:c r="Q48" s="17"/>
      <x:c r="R48" s="14"/>
      <x:c r="S48" s="14"/>
      <x:c r="T48" s="14"/>
    </x:row>
    <x:row r="49">
      <x:c r="A49" s="14"/>
      <x:c r="B49" s="14"/>
      <x:c r="C49" s="14"/>
      <x:c r="D49" s="14"/>
      <x:c r="E49" s="14"/>
      <x:c r="F49" s="14"/>
      <x:c r="G49" s="14"/>
      <x:c r="H49" s="14"/>
      <x:c r="I49" s="14"/>
      <x:c r="J49" s="14"/>
      <x:c r="K49" s="14"/>
      <x:c r="L49" s="14"/>
      <x:c r="M49" s="14"/>
      <x:c r="N49" s="14"/>
      <x:c r="O49" s="17"/>
      <x:c r="P49" s="17"/>
      <x:c r="Q49" s="17"/>
      <x:c r="R49" s="14"/>
      <x:c r="S49" s="14"/>
      <x:c r="T49" s="14"/>
    </x:row>
    <x:row r="50">
      <x:c r="A50" s="14"/>
      <x:c r="B50" s="14"/>
      <x:c r="C50" s="14"/>
      <x:c r="D50" s="14"/>
      <x:c r="E50" s="14"/>
      <x:c r="F50" s="14"/>
      <x:c r="G50" s="14"/>
      <x:c r="H50" s="14"/>
      <x:c r="I50" s="14"/>
      <x:c r="J50" s="14"/>
      <x:c r="K50" s="14"/>
      <x:c r="L50" s="14"/>
      <x:c r="M50" s="14"/>
      <x:c r="N50" s="14"/>
      <x:c r="O50" s="17"/>
      <x:c r="P50" s="17"/>
      <x:c r="Q50" s="17"/>
      <x:c r="R50" s="14"/>
      <x:c r="S50" s="14"/>
      <x:c r="T50" s="14"/>
    </x:row>
    <x:row r="51">
      <x:c r="A51" s="14"/>
      <x:c r="B51" s="14"/>
      <x:c r="C51" s="14"/>
      <x:c r="D51" s="14"/>
      <x:c r="E51" s="14"/>
      <x:c r="F51" s="14"/>
      <x:c r="G51" s="14"/>
      <x:c r="H51" s="14"/>
      <x:c r="I51" s="14"/>
      <x:c r="J51" s="14"/>
      <x:c r="K51" s="14"/>
      <x:c r="L51" s="14"/>
      <x:c r="M51" s="14"/>
      <x:c r="N51" s="14"/>
      <x:c r="O51" s="17"/>
      <x:c r="P51" s="17"/>
      <x:c r="Q51" s="17"/>
      <x:c r="R51" s="14"/>
      <x:c r="S51" s="14"/>
      <x:c r="T51" s="14"/>
    </x:row>
    <x:row r="52">
      <x:c r="A52" s="14"/>
      <x:c r="B52" s="14"/>
      <x:c r="C52" s="14"/>
      <x:c r="D52" s="14"/>
      <x:c r="E52" s="14"/>
      <x:c r="F52" s="14"/>
      <x:c r="G52" s="14"/>
      <x:c r="H52" s="14"/>
      <x:c r="I52" s="14"/>
      <x:c r="J52" s="14"/>
      <x:c r="K52" s="14"/>
      <x:c r="L52" s="14"/>
      <x:c r="M52" s="14"/>
      <x:c r="N52" s="14"/>
      <x:c r="O52" s="17"/>
      <x:c r="P52" s="17"/>
      <x:c r="Q52" s="17"/>
      <x:c r="R52" s="14"/>
      <x:c r="S52" s="14"/>
      <x:c r="T52" s="14"/>
    </x:row>
    <x:row r="53">
      <x:c r="A53" s="14"/>
      <x:c r="B53" s="14"/>
      <x:c r="C53" s="14"/>
      <x:c r="D53" s="14"/>
      <x:c r="E53" s="14"/>
      <x:c r="F53" s="14"/>
      <x:c r="G53" s="14"/>
      <x:c r="H53" s="14"/>
      <x:c r="I53" s="14"/>
      <x:c r="J53" s="14"/>
      <x:c r="K53" s="14"/>
      <x:c r="L53" s="14"/>
      <x:c r="M53" s="14"/>
      <x:c r="N53" s="14"/>
      <x:c r="O53" s="17"/>
      <x:c r="P53" s="17"/>
      <x:c r="Q53" s="17"/>
      <x:c r="R53" s="14"/>
      <x:c r="S53" s="14"/>
      <x:c r="T53" s="14"/>
    </x:row>
    <x:row r="54">
      <x:c r="A54" s="14"/>
      <x:c r="B54" s="14"/>
      <x:c r="C54" s="14"/>
      <x:c r="D54" s="14"/>
      <x:c r="E54" s="14"/>
      <x:c r="F54" s="14"/>
      <x:c r="G54" s="14"/>
      <x:c r="H54" s="14"/>
      <x:c r="I54" s="14"/>
      <x:c r="J54" s="14"/>
      <x:c r="K54" s="14"/>
      <x:c r="L54" s="14"/>
      <x:c r="M54" s="14"/>
      <x:c r="N54" s="14"/>
      <x:c r="O54" s="17"/>
      <x:c r="P54" s="17"/>
      <x:c r="Q54" s="17"/>
      <x:c r="R54" s="14"/>
      <x:c r="S54" s="14"/>
      <x:c r="T54" s="14"/>
    </x:row>
    <x:row r="55">
      <x:c r="A55" s="14"/>
      <x:c r="B55" s="14"/>
      <x:c r="C55" s="14"/>
      <x:c r="D55" s="14"/>
      <x:c r="E55" s="14"/>
      <x:c r="F55" s="14"/>
      <x:c r="G55" s="14"/>
      <x:c r="H55" s="14"/>
      <x:c r="I55" s="14"/>
      <x:c r="J55" s="14"/>
      <x:c r="K55" s="14"/>
      <x:c r="L55" s="14"/>
      <x:c r="M55" s="14"/>
      <x:c r="N55" s="14"/>
      <x:c r="O55" s="17"/>
      <x:c r="P55" s="17"/>
      <x:c r="Q55" s="17"/>
      <x:c r="R55" s="14"/>
      <x:c r="S55" s="14"/>
      <x:c r="T55" s="14"/>
    </x:row>
    <x:row r="56">
      <x:c r="A56" s="14"/>
      <x:c r="B56" s="14"/>
      <x:c r="C56" s="14"/>
      <x:c r="D56" s="14"/>
      <x:c r="E56" s="14"/>
      <x:c r="F56" s="14"/>
      <x:c r="G56" s="14"/>
      <x:c r="H56" s="14"/>
      <x:c r="I56" s="14"/>
      <x:c r="J56" s="14"/>
      <x:c r="K56" s="14"/>
      <x:c r="L56" s="14"/>
      <x:c r="M56" s="14"/>
      <x:c r="N56" s="14"/>
      <x:c r="O56" s="17"/>
      <x:c r="P56" s="17"/>
      <x:c r="Q56" s="17"/>
      <x:c r="R56" s="14"/>
      <x:c r="S56" s="14"/>
      <x:c r="T56" s="14"/>
    </x:row>
    <x:row r="57">
      <x:c r="A57" s="14"/>
      <x:c r="B57" s="14"/>
      <x:c r="C57" s="14"/>
      <x:c r="D57" s="14"/>
      <x:c r="E57" s="14"/>
      <x:c r="F57" s="14"/>
      <x:c r="G57" s="14"/>
      <x:c r="H57" s="14"/>
      <x:c r="I57" s="14"/>
      <x:c r="J57" s="14"/>
      <x:c r="K57" s="14"/>
      <x:c r="L57" s="14"/>
      <x:c r="M57" s="14"/>
      <x:c r="N57" s="14"/>
      <x:c r="O57" s="17"/>
      <x:c r="P57" s="17"/>
      <x:c r="Q57" s="17"/>
      <x:c r="R57" s="14"/>
      <x:c r="S57" s="14"/>
      <x:c r="T57" s="14"/>
    </x:row>
    <x:row r="58">
      <x:c r="A58" s="14"/>
      <x:c r="B58" s="14"/>
      <x:c r="C58" s="14"/>
      <x:c r="D58" s="14"/>
      <x:c r="E58" s="14"/>
      <x:c r="F58" s="14"/>
      <x:c r="G58" s="14"/>
      <x:c r="H58" s="14"/>
      <x:c r="I58" s="14"/>
      <x:c r="J58" s="14"/>
      <x:c r="K58" s="14"/>
      <x:c r="L58" s="14"/>
      <x:c r="M58" s="14"/>
      <x:c r="N58" s="14"/>
      <x:c r="O58" s="17"/>
      <x:c r="P58" s="17"/>
      <x:c r="Q58" s="17"/>
      <x:c r="R58" s="14"/>
      <x:c r="S58" s="14"/>
      <x:c r="T58" s="14"/>
    </x:row>
    <x:row r="59">
      <x:c r="A59" s="14"/>
      <x:c r="B59" s="14"/>
      <x:c r="C59" s="14"/>
      <x:c r="D59" s="14"/>
      <x:c r="E59" s="14"/>
      <x:c r="F59" s="14"/>
      <x:c r="G59" s="14"/>
      <x:c r="H59" s="14"/>
      <x:c r="I59" s="14"/>
      <x:c r="J59" s="14"/>
      <x:c r="K59" s="14"/>
      <x:c r="L59" s="14"/>
      <x:c r="M59" s="14"/>
      <x:c r="N59" s="14"/>
      <x:c r="O59" s="17"/>
      <x:c r="P59" s="17"/>
      <x:c r="Q59" s="17"/>
      <x:c r="R59" s="14"/>
      <x:c r="S59" s="14"/>
      <x:c r="T59" s="14"/>
    </x:row>
    <x:row r="60">
      <x:c r="A60" s="14"/>
      <x:c r="B60" s="14"/>
      <x:c r="C60" s="14"/>
      <x:c r="D60" s="14"/>
      <x:c r="E60" s="14"/>
      <x:c r="F60" s="14"/>
      <x:c r="G60" s="14"/>
      <x:c r="H60" s="14"/>
      <x:c r="I60" s="14"/>
      <x:c r="J60" s="14"/>
      <x:c r="K60" s="14"/>
      <x:c r="L60" s="14"/>
      <x:c r="M60" s="14"/>
      <x:c r="N60" s="14"/>
      <x:c r="O60" s="17"/>
      <x:c r="P60" s="17"/>
      <x:c r="Q60" s="17"/>
      <x:c r="R60" s="14"/>
      <x:c r="S60" s="14"/>
      <x:c r="T60" s="14"/>
    </x:row>
    <x:row r="61">
      <x:c r="A61" s="14"/>
      <x:c r="B61" s="14"/>
      <x:c r="C61" s="14"/>
      <x:c r="D61" s="14"/>
      <x:c r="E61" s="14"/>
      <x:c r="F61" s="14"/>
      <x:c r="G61" s="14"/>
      <x:c r="H61" s="14"/>
      <x:c r="I61" s="14"/>
      <x:c r="J61" s="14"/>
      <x:c r="K61" s="14"/>
      <x:c r="L61" s="14"/>
      <x:c r="M61" s="14"/>
      <x:c r="N61" s="14"/>
      <x:c r="O61" s="17"/>
      <x:c r="P61" s="17"/>
      <x:c r="Q61" s="17"/>
      <x:c r="R61" s="14"/>
      <x:c r="S61" s="14"/>
      <x:c r="T61" s="14"/>
    </x:row>
    <x:row r="62">
      <x:c r="A62" s="14"/>
      <x:c r="B62" s="14"/>
      <x:c r="C62" s="14"/>
      <x:c r="D62" s="14"/>
      <x:c r="E62" s="14"/>
      <x:c r="F62" s="14"/>
      <x:c r="G62" s="14"/>
      <x:c r="H62" s="14"/>
      <x:c r="I62" s="14"/>
      <x:c r="J62" s="14"/>
      <x:c r="K62" s="14"/>
      <x:c r="L62" s="14"/>
      <x:c r="M62" s="14"/>
      <x:c r="N62" s="14"/>
      <x:c r="O62" s="17"/>
      <x:c r="P62" s="17"/>
      <x:c r="Q62" s="17"/>
      <x:c r="R62" s="14"/>
      <x:c r="S62" s="14"/>
      <x:c r="T62" s="14"/>
    </x:row>
    <x:row r="63">
      <x:c r="A63" s="14"/>
      <x:c r="B63" s="14"/>
      <x:c r="C63" s="14"/>
      <x:c r="D63" s="14"/>
      <x:c r="E63" s="14"/>
      <x:c r="F63" s="14"/>
      <x:c r="G63" s="14"/>
      <x:c r="H63" s="14"/>
      <x:c r="I63" s="14"/>
      <x:c r="J63" s="14"/>
      <x:c r="K63" s="14"/>
      <x:c r="L63" s="14"/>
      <x:c r="M63" s="14"/>
      <x:c r="N63" s="14"/>
      <x:c r="O63" s="17"/>
      <x:c r="P63" s="17"/>
      <x:c r="Q63" s="17"/>
      <x:c r="R63" s="14"/>
      <x:c r="S63" s="14"/>
      <x:c r="T63" s="14"/>
    </x:row>
    <x:row r="64">
      <x:c r="A64" s="14"/>
      <x:c r="B64" s="14"/>
      <x:c r="C64" s="14"/>
      <x:c r="D64" s="14"/>
      <x:c r="E64" s="14"/>
      <x:c r="F64" s="14"/>
      <x:c r="G64" s="14"/>
      <x:c r="H64" s="14"/>
      <x:c r="I64" s="14"/>
      <x:c r="J64" s="14"/>
      <x:c r="K64" s="14"/>
      <x:c r="L64" s="14"/>
      <x:c r="M64" s="14"/>
      <x:c r="N64" s="14"/>
      <x:c r="O64" s="17"/>
      <x:c r="P64" s="17"/>
      <x:c r="Q64" s="17"/>
      <x:c r="R64" s="14"/>
      <x:c r="S64" s="14"/>
      <x:c r="T64" s="14"/>
    </x:row>
    <x:row r="65">
      <x:c r="A65" s="14"/>
      <x:c r="B65" s="14"/>
      <x:c r="C65" s="14"/>
      <x:c r="D65" s="14"/>
      <x:c r="E65" s="14"/>
      <x:c r="F65" s="14"/>
      <x:c r="G65" s="14"/>
      <x:c r="H65" s="14"/>
      <x:c r="I65" s="14"/>
      <x:c r="J65" s="14"/>
      <x:c r="K65" s="14"/>
      <x:c r="L65" s="14"/>
      <x:c r="M65" s="14"/>
      <x:c r="N65" s="14"/>
      <x:c r="O65" s="17"/>
      <x:c r="P65" s="17"/>
      <x:c r="Q65" s="17"/>
      <x:c r="R65" s="14"/>
      <x:c r="S65" s="14"/>
      <x:c r="T65" s="14"/>
    </x:row>
    <x:row r="66">
      <x:c r="A66" s="14"/>
      <x:c r="B66" s="14"/>
      <x:c r="C66" s="14"/>
      <x:c r="D66" s="14"/>
      <x:c r="E66" s="14"/>
      <x:c r="F66" s="14"/>
      <x:c r="G66" s="14"/>
      <x:c r="H66" s="14"/>
      <x:c r="I66" s="14"/>
      <x:c r="J66" s="14"/>
      <x:c r="K66" s="14"/>
      <x:c r="L66" s="14"/>
      <x:c r="M66" s="14"/>
      <x:c r="N66" s="14"/>
      <x:c r="O66" s="17"/>
      <x:c r="P66" s="17"/>
      <x:c r="Q66" s="17"/>
      <x:c r="R66" s="14"/>
      <x:c r="S66" s="14"/>
      <x:c r="T66" s="14"/>
    </x:row>
    <x:row r="67">
      <x:c r="A67" s="14"/>
      <x:c r="B67" s="14"/>
      <x:c r="C67" s="14"/>
      <x:c r="D67" s="14"/>
      <x:c r="E67" s="14"/>
      <x:c r="F67" s="14"/>
      <x:c r="G67" s="14"/>
      <x:c r="H67" s="14"/>
      <x:c r="I67" s="14"/>
      <x:c r="J67" s="14"/>
      <x:c r="K67" s="14"/>
      <x:c r="L67" s="14"/>
      <x:c r="M67" s="14"/>
      <x:c r="N67" s="14"/>
      <x:c r="O67" s="17"/>
      <x:c r="P67" s="17"/>
      <x:c r="Q67" s="17"/>
      <x:c r="R67" s="14"/>
      <x:c r="S67" s="14"/>
      <x:c r="T67" s="14"/>
    </x:row>
    <x:row r="68">
      <x:c r="A68" s="14"/>
      <x:c r="B68" s="14"/>
      <x:c r="C68" s="14"/>
      <x:c r="D68" s="14"/>
      <x:c r="E68" s="14"/>
      <x:c r="F68" s="14"/>
      <x:c r="G68" s="14"/>
      <x:c r="H68" s="14"/>
      <x:c r="I68" s="14"/>
      <x:c r="J68" s="14"/>
      <x:c r="K68" s="14"/>
      <x:c r="L68" s="14"/>
      <x:c r="M68" s="14"/>
      <x:c r="N68" s="14"/>
      <x:c r="O68" s="17"/>
      <x:c r="P68" s="17"/>
      <x:c r="Q68" s="17"/>
      <x:c r="R68" s="14"/>
      <x:c r="S68" s="14"/>
      <x:c r="T68" s="14"/>
    </x:row>
    <x:row r="69">
      <x:c r="A69" s="14"/>
      <x:c r="B69" s="14"/>
      <x:c r="C69" s="14"/>
      <x:c r="D69" s="14"/>
      <x:c r="E69" s="14"/>
      <x:c r="F69" s="14"/>
      <x:c r="G69" s="14"/>
      <x:c r="H69" s="14"/>
      <x:c r="I69" s="14"/>
      <x:c r="J69" s="14"/>
      <x:c r="K69" s="14"/>
      <x:c r="L69" s="14"/>
      <x:c r="M69" s="14"/>
      <x:c r="N69" s="14"/>
      <x:c r="O69" s="17"/>
      <x:c r="P69" s="17"/>
      <x:c r="Q69" s="17"/>
      <x:c r="R69" s="14"/>
      <x:c r="S69" s="14"/>
      <x:c r="T69" s="14"/>
    </x:row>
    <x:row r="70">
      <x:c r="A70" s="14"/>
      <x:c r="B70" s="14"/>
      <x:c r="C70" s="14"/>
      <x:c r="D70" s="14"/>
      <x:c r="E70" s="14"/>
      <x:c r="F70" s="14"/>
      <x:c r="G70" s="14"/>
      <x:c r="H70" s="14"/>
      <x:c r="I70" s="14"/>
      <x:c r="J70" s="14"/>
      <x:c r="K70" s="14"/>
      <x:c r="L70" s="14"/>
      <x:c r="M70" s="14"/>
      <x:c r="N70" s="14"/>
      <x:c r="O70" s="17"/>
      <x:c r="P70" s="17"/>
      <x:c r="Q70" s="17"/>
      <x:c r="R70" s="14"/>
      <x:c r="S70" s="14"/>
      <x:c r="T70" s="14"/>
    </x:row>
    <x:row r="71">
      <x:c r="A71" s="14"/>
      <x:c r="B71" s="14"/>
      <x:c r="C71" s="14"/>
      <x:c r="D71" s="14"/>
      <x:c r="E71" s="14"/>
      <x:c r="F71" s="14"/>
      <x:c r="G71" s="14"/>
      <x:c r="H71" s="14"/>
      <x:c r="I71" s="14"/>
      <x:c r="J71" s="14"/>
      <x:c r="K71" s="14"/>
      <x:c r="L71" s="14"/>
      <x:c r="M71" s="14"/>
      <x:c r="N71" s="14"/>
      <x:c r="O71" s="17"/>
      <x:c r="P71" s="17"/>
      <x:c r="Q71" s="17"/>
      <x:c r="R71" s="14"/>
      <x:c r="S71" s="14"/>
      <x:c r="T71" s="14"/>
    </x:row>
    <x:row r="72">
      <x:c r="A72" s="14"/>
      <x:c r="B72" s="14"/>
      <x:c r="C72" s="14"/>
      <x:c r="D72" s="14"/>
      <x:c r="E72" s="14"/>
      <x:c r="F72" s="14"/>
      <x:c r="G72" s="14"/>
      <x:c r="H72" s="14"/>
      <x:c r="I72" s="14"/>
      <x:c r="J72" s="14"/>
      <x:c r="K72" s="14"/>
      <x:c r="L72" s="14"/>
      <x:c r="M72" s="14"/>
      <x:c r="N72" s="14"/>
      <x:c r="O72" s="17"/>
      <x:c r="P72" s="17"/>
      <x:c r="Q72" s="17"/>
      <x:c r="R72" s="14"/>
      <x:c r="S72" s="14"/>
      <x:c r="T72" s="14"/>
    </x:row>
    <x:row r="73">
      <x:c r="A73" s="14"/>
      <x:c r="B73" s="14"/>
      <x:c r="C73" s="14"/>
      <x:c r="D73" s="14"/>
      <x:c r="E73" s="14"/>
      <x:c r="F73" s="14"/>
      <x:c r="G73" s="14"/>
      <x:c r="H73" s="14"/>
      <x:c r="I73" s="14"/>
      <x:c r="J73" s="14"/>
      <x:c r="K73" s="14"/>
      <x:c r="L73" s="14"/>
      <x:c r="M73" s="14"/>
      <x:c r="N73" s="14"/>
      <x:c r="O73" s="17"/>
      <x:c r="P73" s="17"/>
      <x:c r="Q73" s="17"/>
      <x:c r="R73" s="14"/>
      <x:c r="S73" s="14"/>
      <x:c r="T73" s="14"/>
    </x:row>
    <x:row r="74">
      <x:c r="A74" s="14"/>
      <x:c r="B74" s="14"/>
      <x:c r="C74" s="14"/>
      <x:c r="D74" s="14"/>
      <x:c r="E74" s="14"/>
      <x:c r="F74" s="14"/>
      <x:c r="G74" s="14"/>
      <x:c r="H74" s="14"/>
      <x:c r="I74" s="14"/>
      <x:c r="J74" s="14"/>
      <x:c r="K74" s="14"/>
      <x:c r="L74" s="14"/>
      <x:c r="M74" s="14"/>
      <x:c r="N74" s="14"/>
      <x:c r="O74" s="17"/>
      <x:c r="P74" s="17"/>
      <x:c r="Q74" s="17"/>
      <x:c r="R74" s="14"/>
      <x:c r="S74" s="14"/>
      <x:c r="T74" s="14"/>
    </x:row>
    <x:row r="75">
      <x:c r="A75" s="14"/>
      <x:c r="B75" s="14"/>
      <x:c r="C75" s="14"/>
      <x:c r="D75" s="14"/>
      <x:c r="E75" s="14"/>
      <x:c r="F75" s="14"/>
      <x:c r="G75" s="14"/>
      <x:c r="H75" s="14"/>
      <x:c r="I75" s="14"/>
      <x:c r="J75" s="14"/>
      <x:c r="K75" s="14"/>
      <x:c r="L75" s="14"/>
      <x:c r="M75" s="14"/>
      <x:c r="N75" s="14"/>
      <x:c r="O75" s="17"/>
      <x:c r="P75" s="17"/>
      <x:c r="Q75" s="17"/>
      <x:c r="R75" s="14"/>
      <x:c r="S75" s="14"/>
      <x:c r="T75" s="14"/>
    </x:row>
    <x:row r="76">
      <x:c r="A76" s="14"/>
      <x:c r="B76" s="14"/>
      <x:c r="C76" s="14"/>
      <x:c r="D76" s="14"/>
      <x:c r="E76" s="14"/>
      <x:c r="F76" s="14"/>
      <x:c r="G76" s="14"/>
      <x:c r="H76" s="14"/>
      <x:c r="I76" s="14"/>
      <x:c r="J76" s="14"/>
      <x:c r="K76" s="14"/>
      <x:c r="L76" s="14"/>
      <x:c r="M76" s="14"/>
      <x:c r="N76" s="14"/>
      <x:c r="O76" s="17"/>
      <x:c r="P76" s="17"/>
      <x:c r="Q76" s="17"/>
      <x:c r="R76" s="14"/>
      <x:c r="S76" s="14"/>
      <x:c r="T76" s="14"/>
    </x:row>
    <x:row r="77">
      <x:c r="A77" s="14"/>
      <x:c r="B77" s="14"/>
      <x:c r="C77" s="14"/>
      <x:c r="D77" s="14"/>
      <x:c r="E77" s="14"/>
      <x:c r="F77" s="14"/>
      <x:c r="G77" s="14"/>
      <x:c r="H77" s="14"/>
      <x:c r="I77" s="14"/>
      <x:c r="J77" s="14"/>
      <x:c r="K77" s="14"/>
      <x:c r="L77" s="14"/>
      <x:c r="M77" s="14"/>
      <x:c r="N77" s="14"/>
      <x:c r="O77" s="17"/>
      <x:c r="P77" s="17"/>
      <x:c r="Q77" s="17"/>
      <x:c r="R77" s="14"/>
      <x:c r="S77" s="14"/>
      <x:c r="T77" s="14"/>
    </x:row>
    <x:row r="78">
      <x:c r="A78" s="14"/>
      <x:c r="B78" s="14"/>
      <x:c r="C78" s="14"/>
      <x:c r="D78" s="14"/>
      <x:c r="E78" s="14"/>
      <x:c r="F78" s="14"/>
      <x:c r="G78" s="14"/>
      <x:c r="H78" s="14"/>
      <x:c r="I78" s="14"/>
      <x:c r="J78" s="14"/>
      <x:c r="K78" s="14"/>
      <x:c r="L78" s="14"/>
      <x:c r="M78" s="14"/>
      <x:c r="N78" s="14"/>
      <x:c r="O78" s="17"/>
      <x:c r="P78" s="17"/>
      <x:c r="Q78" s="17"/>
      <x:c r="R78" s="14"/>
      <x:c r="S78" s="14"/>
      <x:c r="T78" s="14"/>
    </x:row>
    <x:row r="79">
      <x:c r="A79" s="14"/>
      <x:c r="B79" s="14"/>
      <x:c r="C79" s="14"/>
      <x:c r="D79" s="14"/>
      <x:c r="E79" s="14"/>
      <x:c r="F79" s="14"/>
      <x:c r="G79" s="14"/>
      <x:c r="H79" s="14"/>
      <x:c r="I79" s="14"/>
      <x:c r="J79" s="14"/>
      <x:c r="K79" s="14"/>
      <x:c r="L79" s="14"/>
      <x:c r="M79" s="14"/>
      <x:c r="N79" s="14"/>
      <x:c r="O79" s="17"/>
      <x:c r="P79" s="17"/>
      <x:c r="Q79" s="17"/>
      <x:c r="R79" s="14"/>
      <x:c r="S79" s="14"/>
      <x:c r="T79" s="14"/>
    </x:row>
    <x:row r="80">
      <x:c r="A80" s="14"/>
      <x:c r="B80" s="14"/>
      <x:c r="C80" s="14"/>
      <x:c r="D80" s="14"/>
      <x:c r="E80" s="14"/>
      <x:c r="F80" s="14"/>
      <x:c r="G80" s="14"/>
      <x:c r="H80" s="14"/>
      <x:c r="I80" s="14"/>
      <x:c r="J80" s="14"/>
      <x:c r="K80" s="14"/>
      <x:c r="L80" s="14"/>
      <x:c r="M80" s="14"/>
      <x:c r="N80" s="14"/>
      <x:c r="O80" s="17"/>
      <x:c r="P80" s="17"/>
      <x:c r="Q80" s="17"/>
      <x:c r="R80" s="14"/>
      <x:c r="S80" s="14"/>
      <x:c r="T80" s="14"/>
    </x:row>
    <x:row r="81">
      <x:c r="A81" s="14"/>
      <x:c r="B81" s="14"/>
      <x:c r="C81" s="14"/>
      <x:c r="D81" s="14"/>
      <x:c r="E81" s="14"/>
      <x:c r="F81" s="14"/>
      <x:c r="G81" s="14"/>
      <x:c r="H81" s="14"/>
      <x:c r="I81" s="14"/>
      <x:c r="J81" s="14"/>
      <x:c r="K81" s="14"/>
      <x:c r="L81" s="14"/>
      <x:c r="M81" s="14"/>
      <x:c r="N81" s="14"/>
      <x:c r="O81" s="17"/>
      <x:c r="P81" s="17"/>
      <x:c r="Q81" s="17"/>
      <x:c r="R81" s="14"/>
      <x:c r="S81" s="14"/>
      <x:c r="T81" s="14"/>
    </x:row>
    <x:row r="82">
      <x:c r="A82" s="14"/>
      <x:c r="B82" s="14"/>
      <x:c r="C82" s="14"/>
      <x:c r="D82" s="14"/>
      <x:c r="E82" s="14"/>
      <x:c r="F82" s="14"/>
      <x:c r="G82" s="14"/>
      <x:c r="H82" s="14"/>
      <x:c r="I82" s="14"/>
      <x:c r="J82" s="14"/>
      <x:c r="K82" s="14"/>
      <x:c r="L82" s="14"/>
      <x:c r="M82" s="14"/>
      <x:c r="N82" s="14"/>
      <x:c r="O82" s="17"/>
      <x:c r="P82" s="17"/>
      <x:c r="Q82" s="17"/>
      <x:c r="R82" s="14"/>
      <x:c r="S82" s="14"/>
      <x:c r="T82" s="14"/>
    </x:row>
    <x:row r="83">
      <x:c r="A83" s="14"/>
      <x:c r="B83" s="14"/>
      <x:c r="C83" s="14"/>
      <x:c r="D83" s="14"/>
      <x:c r="E83" s="14"/>
      <x:c r="F83" s="14"/>
      <x:c r="G83" s="14"/>
      <x:c r="H83" s="14"/>
      <x:c r="I83" s="14"/>
      <x:c r="J83" s="14"/>
      <x:c r="K83" s="14"/>
      <x:c r="L83" s="14"/>
      <x:c r="M83" s="14"/>
      <x:c r="N83" s="14"/>
      <x:c r="O83" s="17"/>
      <x:c r="P83" s="17"/>
      <x:c r="Q83" s="17"/>
      <x:c r="R83" s="14"/>
      <x:c r="S83" s="14"/>
      <x:c r="T83" s="14"/>
    </x:row>
    <x:row r="84">
      <x:c r="A84" s="14"/>
      <x:c r="B84" s="14"/>
      <x:c r="C84" s="14"/>
      <x:c r="D84" s="14"/>
      <x:c r="E84" s="14"/>
      <x:c r="F84" s="14"/>
      <x:c r="G84" s="14"/>
      <x:c r="H84" s="14"/>
      <x:c r="I84" s="14"/>
      <x:c r="J84" s="14"/>
      <x:c r="K84" s="14"/>
      <x:c r="L84" s="14"/>
      <x:c r="M84" s="14"/>
      <x:c r="N84" s="14"/>
      <x:c r="O84" s="17"/>
      <x:c r="P84" s="17"/>
      <x:c r="Q84" s="17"/>
      <x:c r="R84" s="14"/>
      <x:c r="S84" s="14"/>
      <x:c r="T84" s="14"/>
    </x:row>
    <x:row r="85">
      <x:c r="A85" s="14"/>
      <x:c r="B85" s="14"/>
      <x:c r="C85" s="14"/>
      <x:c r="D85" s="14"/>
      <x:c r="E85" s="14"/>
      <x:c r="F85" s="14"/>
      <x:c r="G85" s="14"/>
      <x:c r="H85" s="14"/>
      <x:c r="I85" s="14"/>
      <x:c r="J85" s="14"/>
      <x:c r="K85" s="14"/>
      <x:c r="L85" s="14"/>
      <x:c r="M85" s="14"/>
      <x:c r="N85" s="14"/>
      <x:c r="O85" s="17"/>
      <x:c r="P85" s="17"/>
      <x:c r="Q85" s="17"/>
      <x:c r="R85" s="14"/>
      <x:c r="S85" s="14"/>
      <x:c r="T85" s="14"/>
    </x:row>
    <x:row r="86">
      <x:c r="A86" s="14"/>
      <x:c r="B86" s="14"/>
      <x:c r="C86" s="14"/>
      <x:c r="D86" s="14"/>
      <x:c r="E86" s="14"/>
      <x:c r="F86" s="14"/>
      <x:c r="G86" s="14"/>
      <x:c r="H86" s="14"/>
      <x:c r="I86" s="14"/>
      <x:c r="J86" s="14"/>
      <x:c r="K86" s="14"/>
      <x:c r="L86" s="14"/>
      <x:c r="M86" s="14"/>
      <x:c r="N86" s="14"/>
      <x:c r="O86" s="17"/>
      <x:c r="P86" s="17"/>
      <x:c r="Q86" s="17"/>
      <x:c r="R86" s="14"/>
      <x:c r="S86" s="14"/>
      <x:c r="T86" s="14"/>
    </x:row>
    <x:row r="87">
      <x:c r="A87" s="14"/>
      <x:c r="B87" s="14"/>
      <x:c r="C87" s="14"/>
      <x:c r="D87" s="14"/>
      <x:c r="E87" s="14"/>
      <x:c r="F87" s="14"/>
      <x:c r="G87" s="14"/>
      <x:c r="H87" s="14"/>
      <x:c r="I87" s="14"/>
      <x:c r="J87" s="14"/>
      <x:c r="K87" s="14"/>
      <x:c r="L87" s="14"/>
      <x:c r="M87" s="14"/>
      <x:c r="N87" s="14"/>
      <x:c r="O87" s="17"/>
      <x:c r="P87" s="17"/>
      <x:c r="Q87" s="17"/>
      <x:c r="R87" s="14"/>
      <x:c r="S87" s="14"/>
      <x:c r="T87" s="14"/>
    </x:row>
    <x:row r="88">
      <x:c r="A88" s="14"/>
      <x:c r="B88" s="14"/>
      <x:c r="C88" s="14"/>
      <x:c r="D88" s="14"/>
      <x:c r="E88" s="14"/>
      <x:c r="F88" s="14"/>
      <x:c r="G88" s="14"/>
      <x:c r="H88" s="14"/>
      <x:c r="I88" s="14"/>
      <x:c r="J88" s="14"/>
      <x:c r="K88" s="14"/>
      <x:c r="L88" s="14"/>
      <x:c r="M88" s="14"/>
      <x:c r="N88" s="14"/>
      <x:c r="O88" s="17"/>
      <x:c r="P88" s="17"/>
      <x:c r="Q88" s="17"/>
      <x:c r="R88" s="14"/>
      <x:c r="S88" s="14"/>
      <x:c r="T88" s="14"/>
    </x:row>
    <x:row r="89">
      <x:c r="A89" s="14"/>
      <x:c r="B89" s="14"/>
      <x:c r="C89" s="14"/>
      <x:c r="D89" s="14"/>
      <x:c r="E89" s="14"/>
      <x:c r="F89" s="14"/>
      <x:c r="G89" s="14"/>
      <x:c r="H89" s="14"/>
      <x:c r="I89" s="14"/>
      <x:c r="J89" s="14"/>
      <x:c r="K89" s="14"/>
      <x:c r="L89" s="14"/>
      <x:c r="M89" s="14"/>
      <x:c r="N89" s="14"/>
      <x:c r="O89" s="17"/>
      <x:c r="P89" s="17"/>
      <x:c r="Q89" s="17"/>
      <x:c r="R89" s="14"/>
      <x:c r="S89" s="14"/>
      <x:c r="T89" s="14"/>
    </x:row>
    <x:row r="90">
      <x:c r="A90" s="14"/>
      <x:c r="B90" s="14"/>
      <x:c r="C90" s="14"/>
      <x:c r="D90" s="14"/>
      <x:c r="E90" s="14"/>
      <x:c r="F90" s="14"/>
      <x:c r="G90" s="14"/>
      <x:c r="H90" s="14"/>
      <x:c r="I90" s="14"/>
      <x:c r="J90" s="14"/>
      <x:c r="K90" s="14"/>
      <x:c r="L90" s="14"/>
      <x:c r="M90" s="14"/>
      <x:c r="N90" s="14"/>
      <x:c r="O90" s="17"/>
      <x:c r="P90" s="17"/>
      <x:c r="Q90" s="17"/>
      <x:c r="R90" s="14"/>
      <x:c r="S90" s="14"/>
      <x:c r="T90" s="14"/>
    </x:row>
    <x:row r="91">
      <x:c r="A91" s="14"/>
      <x:c r="B91" s="14"/>
      <x:c r="C91" s="14"/>
      <x:c r="D91" s="14"/>
      <x:c r="E91" s="14"/>
      <x:c r="F91" s="14"/>
      <x:c r="G91" s="14"/>
      <x:c r="H91" s="14"/>
      <x:c r="I91" s="14"/>
      <x:c r="J91" s="14"/>
      <x:c r="K91" s="14"/>
      <x:c r="L91" s="14"/>
      <x:c r="M91" s="14"/>
      <x:c r="N91" s="14"/>
      <x:c r="O91" s="17"/>
      <x:c r="P91" s="17"/>
      <x:c r="Q91" s="17"/>
      <x:c r="R91" s="14"/>
      <x:c r="S91" s="14"/>
      <x:c r="T91" s="14"/>
    </x:row>
    <x:row r="92">
      <x:c r="A92" s="14"/>
      <x:c r="B92" s="14"/>
      <x:c r="C92" s="14"/>
      <x:c r="D92" s="14"/>
      <x:c r="E92" s="14"/>
      <x:c r="F92" s="14"/>
      <x:c r="G92" s="14"/>
      <x:c r="H92" s="14"/>
      <x:c r="I92" s="14"/>
      <x:c r="J92" s="14"/>
      <x:c r="K92" s="14"/>
      <x:c r="L92" s="14"/>
      <x:c r="M92" s="14"/>
      <x:c r="N92" s="14"/>
      <x:c r="O92" s="17"/>
      <x:c r="P92" s="17"/>
      <x:c r="Q92" s="17"/>
      <x:c r="R92" s="14"/>
      <x:c r="S92" s="14"/>
      <x:c r="T92" s="14"/>
    </x:row>
    <x:row r="93">
      <x:c r="A93" s="14"/>
      <x:c r="B93" s="14"/>
      <x:c r="C93" s="14"/>
      <x:c r="D93" s="14"/>
      <x:c r="E93" s="14"/>
      <x:c r="F93" s="14"/>
      <x:c r="G93" s="14"/>
      <x:c r="H93" s="14"/>
      <x:c r="I93" s="14"/>
      <x:c r="J93" s="14"/>
      <x:c r="K93" s="14"/>
      <x:c r="L93" s="14"/>
      <x:c r="M93" s="14"/>
      <x:c r="N93" s="14"/>
      <x:c r="O93" s="17"/>
      <x:c r="P93" s="17"/>
      <x:c r="Q93" s="17"/>
      <x:c r="R93" s="14"/>
      <x:c r="S93" s="14"/>
      <x:c r="T93" s="14"/>
    </x:row>
    <x:row r="94">
      <x:c r="A94" s="14"/>
      <x:c r="B94" s="14"/>
      <x:c r="C94" s="14"/>
      <x:c r="D94" s="14"/>
      <x:c r="E94" s="14"/>
      <x:c r="F94" s="14"/>
      <x:c r="G94" s="14"/>
      <x:c r="H94" s="14"/>
      <x:c r="I94" s="14"/>
      <x:c r="J94" s="14"/>
      <x:c r="K94" s="14"/>
      <x:c r="L94" s="14"/>
      <x:c r="M94" s="14"/>
      <x:c r="N94" s="14"/>
      <x:c r="O94" s="17"/>
      <x:c r="P94" s="17"/>
      <x:c r="Q94" s="17"/>
      <x:c r="R94" s="14"/>
      <x:c r="S94" s="14"/>
      <x:c r="T94" s="14"/>
    </x:row>
    <x:row r="95">
      <x:c r="A95" s="14"/>
      <x:c r="B95" s="14"/>
      <x:c r="C95" s="14"/>
      <x:c r="D95" s="14"/>
      <x:c r="E95" s="14"/>
      <x:c r="F95" s="14"/>
      <x:c r="G95" s="14"/>
      <x:c r="H95" s="14"/>
      <x:c r="I95" s="14"/>
      <x:c r="J95" s="14"/>
      <x:c r="K95" s="14"/>
      <x:c r="L95" s="14"/>
      <x:c r="M95" s="14"/>
      <x:c r="N95" s="14"/>
      <x:c r="O95" s="17"/>
      <x:c r="P95" s="17"/>
      <x:c r="Q95" s="17"/>
      <x:c r="R95" s="14"/>
      <x:c r="S95" s="14"/>
      <x:c r="T95" s="14"/>
    </x:row>
    <x:row r="96">
      <x:c r="A96" s="14"/>
      <x:c r="B96" s="14"/>
      <x:c r="C96" s="14"/>
      <x:c r="D96" s="14"/>
      <x:c r="E96" s="14"/>
      <x:c r="F96" s="14"/>
      <x:c r="G96" s="14"/>
      <x:c r="H96" s="14"/>
      <x:c r="I96" s="14"/>
      <x:c r="J96" s="14"/>
      <x:c r="K96" s="14"/>
      <x:c r="L96" s="14"/>
      <x:c r="M96" s="14"/>
      <x:c r="N96" s="14"/>
      <x:c r="O96" s="17"/>
      <x:c r="P96" s="17"/>
      <x:c r="Q96" s="17"/>
      <x:c r="R96" s="14"/>
      <x:c r="S96" s="14"/>
      <x:c r="T96" s="14"/>
    </x:row>
    <x:row r="97">
      <x:c r="A97" s="14"/>
      <x:c r="B97" s="14"/>
      <x:c r="C97" s="14"/>
      <x:c r="D97" s="14"/>
      <x:c r="E97" s="14"/>
      <x:c r="F97" s="14"/>
      <x:c r="G97" s="14"/>
      <x:c r="H97" s="14"/>
      <x:c r="I97" s="14"/>
      <x:c r="J97" s="14"/>
      <x:c r="K97" s="14"/>
      <x:c r="L97" s="14"/>
      <x:c r="M97" s="14"/>
      <x:c r="N97" s="14"/>
      <x:c r="O97" s="17"/>
      <x:c r="P97" s="17"/>
      <x:c r="Q97" s="17"/>
      <x:c r="R97" s="14"/>
      <x:c r="S97" s="14"/>
      <x:c r="T97" s="14"/>
    </x:row>
    <x:row r="98">
      <x:c r="A98" s="14"/>
      <x:c r="B98" s="14"/>
      <x:c r="C98" s="14"/>
      <x:c r="D98" s="14"/>
      <x:c r="E98" s="14"/>
      <x:c r="F98" s="14"/>
      <x:c r="G98" s="14"/>
      <x:c r="H98" s="14"/>
      <x:c r="I98" s="14"/>
      <x:c r="J98" s="14"/>
      <x:c r="K98" s="14"/>
      <x:c r="L98" s="14"/>
      <x:c r="M98" s="14"/>
      <x:c r="N98" s="14"/>
      <x:c r="O98" s="17"/>
      <x:c r="P98" s="17"/>
      <x:c r="Q98" s="17"/>
      <x:c r="R98" s="14"/>
      <x:c r="S98" s="14"/>
      <x:c r="T98" s="14"/>
    </x:row>
    <x:row r="99">
      <x:c r="A99" s="14"/>
      <x:c r="B99" s="14"/>
      <x:c r="C99" s="14"/>
      <x:c r="D99" s="14"/>
      <x:c r="E99" s="14"/>
      <x:c r="F99" s="14"/>
      <x:c r="G99" s="14"/>
      <x:c r="H99" s="14"/>
      <x:c r="I99" s="14"/>
      <x:c r="J99" s="14"/>
      <x:c r="K99" s="14"/>
      <x:c r="L99" s="14"/>
      <x:c r="M99" s="14"/>
      <x:c r="N99" s="14"/>
      <x:c r="O99" s="17"/>
      <x:c r="P99" s="17"/>
      <x:c r="Q99" s="17"/>
      <x:c r="R99" s="14"/>
      <x:c r="S99" s="14"/>
      <x:c r="T99" s="14"/>
    </x:row>
    <x:row r="100">
      <x:c r="A100" s="14"/>
      <x:c r="B100" s="14"/>
      <x:c r="C100" s="14"/>
      <x:c r="D100" s="14"/>
      <x:c r="E100" s="14"/>
      <x:c r="F100" s="14"/>
      <x:c r="G100" s="14"/>
      <x:c r="H100" s="14"/>
      <x:c r="I100" s="14"/>
      <x:c r="J100" s="14"/>
      <x:c r="K100" s="14"/>
      <x:c r="L100" s="14"/>
      <x:c r="M100" s="14"/>
      <x:c r="N100" s="14"/>
      <x:c r="O100" s="17"/>
      <x:c r="P100" s="17"/>
      <x:c r="Q100" s="17"/>
      <x:c r="R100" s="14"/>
      <x:c r="S100" s="14"/>
      <x:c r="T100" s="14"/>
    </x:row>
    <x:row r="101">
      <x:c r="A101" s="14"/>
      <x:c r="B101" s="14"/>
      <x:c r="C101" s="14"/>
      <x:c r="D101" s="14"/>
      <x:c r="E101" s="14"/>
      <x:c r="F101" s="14"/>
      <x:c r="G101" s="14"/>
      <x:c r="H101" s="14"/>
      <x:c r="I101" s="14"/>
      <x:c r="J101" s="14"/>
      <x:c r="K101" s="14"/>
      <x:c r="L101" s="14"/>
      <x:c r="M101" s="14"/>
      <x:c r="N101" s="14"/>
      <x:c r="O101" s="17"/>
      <x:c r="P101" s="17"/>
      <x:c r="Q101" s="17"/>
      <x:c r="R101" s="14"/>
      <x:c r="S101" s="14"/>
      <x:c r="T101" s="14"/>
    </x:row>
    <x:row r="102">
      <x:c r="A102" s="14"/>
      <x:c r="B102" s="14"/>
      <x:c r="C102" s="14"/>
      <x:c r="D102" s="14"/>
      <x:c r="E102" s="14"/>
      <x:c r="F102" s="14"/>
      <x:c r="G102" s="14"/>
      <x:c r="H102" s="14"/>
      <x:c r="I102" s="14"/>
      <x:c r="J102" s="14"/>
      <x:c r="K102" s="14"/>
      <x:c r="L102" s="14"/>
      <x:c r="M102" s="14"/>
      <x:c r="N102" s="14"/>
      <x:c r="O102" s="17"/>
      <x:c r="P102" s="17"/>
      <x:c r="Q102" s="17"/>
      <x:c r="R102" s="14"/>
      <x:c r="S102" s="14"/>
      <x:c r="T102" s="14"/>
    </x:row>
    <x:row r="103">
      <x:c r="A103" s="14"/>
      <x:c r="B103" s="14"/>
      <x:c r="C103" s="14"/>
      <x:c r="D103" s="14"/>
      <x:c r="E103" s="14"/>
      <x:c r="F103" s="14"/>
      <x:c r="G103" s="14"/>
      <x:c r="H103" s="14"/>
      <x:c r="I103" s="14"/>
      <x:c r="J103" s="14"/>
      <x:c r="K103" s="14"/>
      <x:c r="L103" s="14"/>
      <x:c r="M103" s="14"/>
      <x:c r="N103" s="14"/>
      <x:c r="O103" s="17"/>
      <x:c r="P103" s="17"/>
      <x:c r="Q103" s="17"/>
      <x:c r="R103" s="14"/>
      <x:c r="S103" s="14"/>
      <x:c r="T103" s="14"/>
    </x:row>
    <x:row r="104">
      <x:c r="A104" s="14"/>
      <x:c r="B104" s="14"/>
      <x:c r="C104" s="14"/>
      <x:c r="D104" s="14"/>
      <x:c r="E104" s="14"/>
      <x:c r="F104" s="14"/>
      <x:c r="G104" s="14"/>
      <x:c r="H104" s="14"/>
      <x:c r="I104" s="14"/>
      <x:c r="J104" s="14"/>
      <x:c r="K104" s="14"/>
      <x:c r="L104" s="14"/>
      <x:c r="M104" s="14"/>
      <x:c r="N104" s="14"/>
      <x:c r="O104" s="17"/>
      <x:c r="P104" s="17"/>
      <x:c r="Q104" s="17"/>
      <x:c r="R104" s="14"/>
      <x:c r="S104" s="14"/>
      <x:c r="T104" s="14"/>
    </x:row>
    <x:row r="105">
      <x:c r="A105" s="14"/>
      <x:c r="B105" s="14"/>
      <x:c r="C105" s="14"/>
      <x:c r="D105" s="14"/>
      <x:c r="E105" s="14"/>
      <x:c r="F105" s="14"/>
      <x:c r="G105" s="14"/>
      <x:c r="H105" s="14"/>
      <x:c r="I105" s="14"/>
      <x:c r="J105" s="14"/>
      <x:c r="K105" s="14"/>
      <x:c r="L105" s="14"/>
      <x:c r="M105" s="14"/>
      <x:c r="N105" s="14"/>
      <x:c r="O105" s="17"/>
      <x:c r="P105" s="17"/>
      <x:c r="Q105" s="17"/>
      <x:c r="R105" s="14"/>
      <x:c r="S105" s="14"/>
      <x:c r="T105" s="14"/>
    </x:row>
    <x:row r="106">
      <x:c r="A106" s="14"/>
      <x:c r="B106" s="14"/>
      <x:c r="C106" s="14"/>
      <x:c r="D106" s="14"/>
      <x:c r="E106" s="14"/>
      <x:c r="F106" s="14"/>
      <x:c r="G106" s="14"/>
      <x:c r="H106" s="14"/>
      <x:c r="I106" s="14"/>
      <x:c r="J106" s="14"/>
      <x:c r="K106" s="14"/>
      <x:c r="L106" s="14"/>
      <x:c r="M106" s="14"/>
      <x:c r="N106" s="14"/>
      <x:c r="O106" s="17"/>
      <x:c r="P106" s="17"/>
      <x:c r="Q106" s="17"/>
      <x:c r="R106" s="14"/>
      <x:c r="S106" s="14"/>
      <x:c r="T106" s="14"/>
    </x:row>
    <x:row r="107">
      <x:c r="A107" s="14"/>
      <x:c r="B107" s="14"/>
      <x:c r="C107" s="14"/>
      <x:c r="D107" s="14"/>
      <x:c r="E107" s="14"/>
      <x:c r="F107" s="14"/>
      <x:c r="G107" s="14"/>
      <x:c r="H107" s="14"/>
      <x:c r="I107" s="14"/>
      <x:c r="J107" s="14"/>
      <x:c r="K107" s="14"/>
      <x:c r="L107" s="14"/>
      <x:c r="M107" s="14"/>
      <x:c r="N107" s="14"/>
      <x:c r="O107" s="17"/>
      <x:c r="P107" s="17"/>
      <x:c r="Q107" s="17"/>
      <x:c r="R107" s="14"/>
      <x:c r="S107" s="14"/>
      <x:c r="T107" s="14"/>
    </x:row>
    <x:row r="108">
      <x:c r="A108" s="14"/>
      <x:c r="B108" s="14"/>
      <x:c r="C108" s="14"/>
      <x:c r="D108" s="14"/>
      <x:c r="E108" s="14"/>
      <x:c r="F108" s="14"/>
      <x:c r="G108" s="14"/>
      <x:c r="H108" s="14"/>
      <x:c r="I108" s="14"/>
      <x:c r="J108" s="14"/>
      <x:c r="K108" s="14"/>
      <x:c r="L108" s="14"/>
      <x:c r="M108" s="14"/>
      <x:c r="N108" s="14"/>
      <x:c r="O108" s="17"/>
      <x:c r="P108" s="17"/>
      <x:c r="Q108" s="17"/>
      <x:c r="R108" s="14"/>
      <x:c r="S108" s="14"/>
      <x:c r="T108" s="14"/>
    </x:row>
    <x:row r="109">
      <x:c r="A109" s="14"/>
      <x:c r="B109" s="14"/>
      <x:c r="C109" s="14"/>
      <x:c r="D109" s="14"/>
      <x:c r="E109" s="14"/>
      <x:c r="F109" s="14"/>
      <x:c r="G109" s="14"/>
      <x:c r="H109" s="14"/>
      <x:c r="I109" s="14"/>
      <x:c r="J109" s="14"/>
      <x:c r="K109" s="14"/>
      <x:c r="L109" s="14"/>
      <x:c r="M109" s="14"/>
      <x:c r="N109" s="14"/>
      <x:c r="O109" s="17"/>
      <x:c r="P109" s="17"/>
      <x:c r="Q109" s="17"/>
      <x:c r="R109" s="14"/>
      <x:c r="S109" s="14"/>
      <x:c r="T109" s="14"/>
    </x:row>
    <x:row r="110">
      <x:c r="A110" s="14"/>
      <x:c r="B110" s="14"/>
      <x:c r="C110" s="14"/>
      <x:c r="D110" s="14"/>
      <x:c r="E110" s="14"/>
      <x:c r="F110" s="14"/>
      <x:c r="G110" s="14"/>
      <x:c r="H110" s="14"/>
      <x:c r="I110" s="14"/>
      <x:c r="J110" s="14"/>
      <x:c r="K110" s="14"/>
      <x:c r="L110" s="14"/>
      <x:c r="M110" s="14"/>
      <x:c r="N110" s="14"/>
      <x:c r="O110" s="17"/>
      <x:c r="P110" s="17"/>
      <x:c r="Q110" s="17"/>
      <x:c r="R110" s="14"/>
      <x:c r="S110" s="14"/>
      <x:c r="T110" s="14"/>
    </x:row>
    <x:row r="111">
      <x:c r="A111" s="14"/>
      <x:c r="B111" s="14"/>
      <x:c r="C111" s="14"/>
      <x:c r="D111" s="14"/>
      <x:c r="E111" s="14"/>
      <x:c r="F111" s="14"/>
      <x:c r="G111" s="14"/>
      <x:c r="H111" s="14"/>
      <x:c r="I111" s="14"/>
      <x:c r="J111" s="14"/>
      <x:c r="K111" s="14"/>
      <x:c r="L111" s="14"/>
      <x:c r="M111" s="14"/>
      <x:c r="N111" s="14"/>
      <x:c r="O111" s="17"/>
      <x:c r="P111" s="17"/>
      <x:c r="Q111" s="17"/>
      <x:c r="R111" s="14"/>
      <x:c r="S111" s="14"/>
      <x:c r="T111" s="14"/>
    </x:row>
    <x:row r="112">
      <x:c r="A112" s="14"/>
      <x:c r="B112" s="14"/>
      <x:c r="C112" s="14"/>
      <x:c r="D112" s="14"/>
      <x:c r="E112" s="14"/>
      <x:c r="F112" s="14"/>
      <x:c r="G112" s="14"/>
      <x:c r="H112" s="14"/>
      <x:c r="I112" s="14"/>
      <x:c r="J112" s="14"/>
      <x:c r="K112" s="14"/>
      <x:c r="L112" s="14"/>
      <x:c r="M112" s="14"/>
      <x:c r="N112" s="14"/>
      <x:c r="O112" s="17"/>
      <x:c r="P112" s="17"/>
      <x:c r="Q112" s="17"/>
      <x:c r="R112" s="14"/>
      <x:c r="S112" s="14"/>
      <x:c r="T112" s="14"/>
    </x:row>
    <x:row r="113">
      <x:c r="A113" s="14"/>
      <x:c r="B113" s="14"/>
      <x:c r="C113" s="14"/>
      <x:c r="D113" s="14"/>
      <x:c r="E113" s="14"/>
      <x:c r="F113" s="14"/>
      <x:c r="G113" s="14"/>
      <x:c r="H113" s="14"/>
      <x:c r="I113" s="14"/>
      <x:c r="J113" s="14"/>
      <x:c r="K113" s="14"/>
      <x:c r="L113" s="14"/>
      <x:c r="M113" s="14"/>
      <x:c r="N113" s="14"/>
      <x:c r="O113" s="17"/>
      <x:c r="P113" s="17"/>
      <x:c r="Q113" s="17"/>
      <x:c r="R113" s="14"/>
      <x:c r="S113" s="14"/>
      <x:c r="T113" s="14"/>
    </x:row>
    <x:row r="114">
      <x:c r="A114" s="14"/>
      <x:c r="B114" s="14"/>
      <x:c r="C114" s="14"/>
      <x:c r="D114" s="14"/>
      <x:c r="E114" s="14"/>
      <x:c r="F114" s="14"/>
      <x:c r="G114" s="14"/>
      <x:c r="H114" s="14"/>
      <x:c r="I114" s="14"/>
      <x:c r="J114" s="14"/>
      <x:c r="K114" s="14"/>
      <x:c r="L114" s="14"/>
      <x:c r="M114" s="14"/>
      <x:c r="N114" s="14"/>
      <x:c r="O114" s="17"/>
      <x:c r="P114" s="17"/>
      <x:c r="Q114" s="17"/>
      <x:c r="R114" s="14"/>
      <x:c r="S114" s="14"/>
      <x:c r="T114" s="14"/>
    </x:row>
    <x:row r="115">
      <x:c r="A115" s="14"/>
      <x:c r="B115" s="14"/>
      <x:c r="C115" s="14"/>
      <x:c r="D115" s="14"/>
      <x:c r="E115" s="14"/>
      <x:c r="F115" s="14"/>
      <x:c r="G115" s="14"/>
      <x:c r="H115" s="14"/>
      <x:c r="I115" s="14"/>
      <x:c r="J115" s="14"/>
      <x:c r="K115" s="14"/>
      <x:c r="L115" s="14"/>
      <x:c r="M115" s="14"/>
      <x:c r="N115" s="14"/>
      <x:c r="O115" s="17"/>
      <x:c r="P115" s="17"/>
      <x:c r="Q115" s="17"/>
      <x:c r="R115" s="14"/>
      <x:c r="S115" s="14"/>
      <x:c r="T115" s="14"/>
    </x:row>
    <x:row r="116">
      <x:c r="A116" s="14"/>
      <x:c r="B116" s="14"/>
      <x:c r="C116" s="14"/>
      <x:c r="D116" s="14"/>
      <x:c r="E116" s="14"/>
      <x:c r="F116" s="14"/>
      <x:c r="G116" s="14"/>
      <x:c r="H116" s="14"/>
      <x:c r="I116" s="14"/>
      <x:c r="J116" s="14"/>
      <x:c r="K116" s="14"/>
      <x:c r="L116" s="14"/>
      <x:c r="M116" s="14"/>
      <x:c r="N116" s="14"/>
      <x:c r="O116" s="17"/>
      <x:c r="P116" s="17"/>
      <x:c r="Q116" s="17"/>
      <x:c r="R116" s="14"/>
      <x:c r="S116" s="14"/>
      <x:c r="T116" s="14"/>
    </x:row>
    <x:row r="117">
      <x:c r="A117" s="14"/>
      <x:c r="B117" s="14"/>
      <x:c r="C117" s="14"/>
      <x:c r="D117" s="14"/>
      <x:c r="E117" s="14"/>
      <x:c r="F117" s="14"/>
      <x:c r="G117" s="14"/>
      <x:c r="H117" s="14"/>
      <x:c r="I117" s="14"/>
      <x:c r="J117" s="14"/>
      <x:c r="K117" s="14"/>
      <x:c r="L117" s="14"/>
      <x:c r="M117" s="14"/>
      <x:c r="N117" s="14"/>
      <x:c r="O117" s="17"/>
      <x:c r="P117" s="17"/>
      <x:c r="Q117" s="17"/>
      <x:c r="R117" s="14"/>
      <x:c r="S117" s="14"/>
      <x:c r="T117" s="14"/>
    </x:row>
    <x:row r="118">
      <x:c r="A118" s="14"/>
      <x:c r="B118" s="14"/>
      <x:c r="C118" s="14"/>
      <x:c r="D118" s="14"/>
      <x:c r="E118" s="14"/>
      <x:c r="F118" s="14"/>
      <x:c r="G118" s="14"/>
      <x:c r="H118" s="14"/>
      <x:c r="I118" s="14"/>
      <x:c r="J118" s="14"/>
      <x:c r="K118" s="14"/>
      <x:c r="L118" s="14"/>
      <x:c r="M118" s="14"/>
      <x:c r="N118" s="14"/>
      <x:c r="O118" s="17"/>
      <x:c r="P118" s="17"/>
      <x:c r="Q118" s="17"/>
      <x:c r="R118" s="14"/>
      <x:c r="S118" s="14"/>
      <x:c r="T118" s="14"/>
    </x:row>
    <x:row r="119">
      <x:c r="A119" s="14"/>
      <x:c r="B119" s="14"/>
      <x:c r="C119" s="14"/>
      <x:c r="D119" s="14"/>
      <x:c r="E119" s="14"/>
      <x:c r="F119" s="14"/>
      <x:c r="G119" s="14"/>
      <x:c r="H119" s="14"/>
      <x:c r="I119" s="14"/>
      <x:c r="J119" s="14"/>
      <x:c r="K119" s="14"/>
      <x:c r="L119" s="14"/>
      <x:c r="M119" s="14"/>
      <x:c r="N119" s="14"/>
      <x:c r="O119" s="17"/>
      <x:c r="P119" s="17"/>
      <x:c r="Q119" s="17"/>
      <x:c r="R119" s="14"/>
      <x:c r="S119" s="14"/>
      <x:c r="T119" s="14"/>
    </x:row>
    <x:row r="120">
      <x:c r="A120" s="14"/>
      <x:c r="B120" s="14"/>
      <x:c r="C120" s="14"/>
      <x:c r="D120" s="14"/>
      <x:c r="E120" s="14"/>
      <x:c r="F120" s="14"/>
      <x:c r="G120" s="14"/>
      <x:c r="H120" s="14"/>
      <x:c r="I120" s="14"/>
      <x:c r="J120" s="14"/>
      <x:c r="K120" s="14"/>
      <x:c r="L120" s="14"/>
      <x:c r="M120" s="14"/>
      <x:c r="N120" s="14"/>
      <x:c r="O120" s="17"/>
      <x:c r="P120" s="17"/>
      <x:c r="Q120" s="17"/>
      <x:c r="R120" s="14"/>
      <x:c r="S120" s="14"/>
      <x:c r="T120" s="14"/>
    </x:row>
    <x:row r="121">
      <x:c r="A121" s="14"/>
      <x:c r="B121" s="14"/>
      <x:c r="C121" s="14"/>
      <x:c r="D121" s="14"/>
      <x:c r="E121" s="14"/>
      <x:c r="F121" s="14"/>
      <x:c r="G121" s="14"/>
      <x:c r="H121" s="14"/>
      <x:c r="I121" s="14"/>
      <x:c r="J121" s="14"/>
      <x:c r="K121" s="14"/>
      <x:c r="L121" s="14"/>
      <x:c r="M121" s="14"/>
      <x:c r="N121" s="14"/>
      <x:c r="O121" s="17"/>
      <x:c r="P121" s="17"/>
      <x:c r="Q121" s="17"/>
      <x:c r="R121" s="14"/>
      <x:c r="S121" s="14"/>
      <x:c r="T121" s="14"/>
    </x:row>
    <x:row r="122">
      <x:c r="A122" s="14"/>
      <x:c r="B122" s="14"/>
      <x:c r="C122" s="14"/>
      <x:c r="D122" s="14"/>
      <x:c r="E122" s="14"/>
      <x:c r="F122" s="14"/>
      <x:c r="G122" s="14"/>
      <x:c r="H122" s="14"/>
      <x:c r="I122" s="14"/>
      <x:c r="J122" s="14"/>
      <x:c r="K122" s="14"/>
      <x:c r="L122" s="14"/>
      <x:c r="M122" s="14"/>
      <x:c r="N122" s="14"/>
      <x:c r="O122" s="17"/>
      <x:c r="P122" s="17"/>
      <x:c r="Q122" s="17"/>
      <x:c r="R122" s="14"/>
      <x:c r="S122" s="14"/>
      <x:c r="T122" s="14"/>
    </x:row>
    <x:row r="123">
      <x:c r="A123" s="14"/>
      <x:c r="B123" s="14"/>
      <x:c r="C123" s="14"/>
      <x:c r="D123" s="14"/>
      <x:c r="E123" s="14"/>
      <x:c r="F123" s="14"/>
      <x:c r="G123" s="14"/>
      <x:c r="H123" s="14"/>
      <x:c r="I123" s="14"/>
      <x:c r="J123" s="14"/>
      <x:c r="K123" s="14"/>
      <x:c r="L123" s="14"/>
      <x:c r="M123" s="14"/>
      <x:c r="N123" s="14"/>
      <x:c r="O123" s="17"/>
      <x:c r="P123" s="17"/>
      <x:c r="Q123" s="17"/>
      <x:c r="R123" s="14"/>
      <x:c r="S123" s="14"/>
      <x:c r="T123" s="14"/>
    </x:row>
    <x:row r="124">
      <x:c r="A124" s="14"/>
      <x:c r="B124" s="14"/>
      <x:c r="C124" s="14"/>
      <x:c r="D124" s="14"/>
      <x:c r="E124" s="14"/>
      <x:c r="F124" s="14"/>
      <x:c r="G124" s="14"/>
      <x:c r="H124" s="14"/>
      <x:c r="I124" s="14"/>
      <x:c r="J124" s="14"/>
      <x:c r="K124" s="14"/>
      <x:c r="L124" s="14"/>
      <x:c r="M124" s="14"/>
      <x:c r="N124" s="14"/>
      <x:c r="O124" s="17"/>
      <x:c r="P124" s="17"/>
      <x:c r="Q124" s="17"/>
      <x:c r="R124" s="14"/>
      <x:c r="S124" s="14"/>
      <x:c r="T124" s="14"/>
    </x:row>
    <x:row r="125">
      <x:c r="A125" s="14"/>
      <x:c r="B125" s="14"/>
      <x:c r="C125" s="14"/>
      <x:c r="D125" s="14"/>
      <x:c r="E125" s="14"/>
      <x:c r="F125" s="14"/>
      <x:c r="G125" s="14"/>
      <x:c r="H125" s="14"/>
      <x:c r="I125" s="14"/>
      <x:c r="J125" s="14"/>
      <x:c r="K125" s="14"/>
      <x:c r="L125" s="14"/>
      <x:c r="M125" s="14"/>
      <x:c r="N125" s="14"/>
      <x:c r="O125" s="17"/>
      <x:c r="P125" s="17"/>
      <x:c r="Q125" s="17"/>
      <x:c r="R125" s="14"/>
      <x:c r="S125" s="14"/>
      <x:c r="T125" s="14"/>
    </x:row>
    <x:row r="126">
      <x:c r="A126" s="14"/>
      <x:c r="B126" s="14"/>
      <x:c r="C126" s="14"/>
      <x:c r="D126" s="14"/>
      <x:c r="E126" s="14"/>
      <x:c r="F126" s="14"/>
      <x:c r="G126" s="14"/>
      <x:c r="H126" s="14"/>
      <x:c r="I126" s="14"/>
      <x:c r="J126" s="14"/>
      <x:c r="K126" s="14"/>
      <x:c r="L126" s="14"/>
      <x:c r="M126" s="14"/>
      <x:c r="N126" s="14"/>
      <x:c r="O126" s="17"/>
      <x:c r="P126" s="17"/>
      <x:c r="Q126" s="17"/>
      <x:c r="R126" s="14"/>
      <x:c r="S126" s="14"/>
      <x:c r="T126" s="14"/>
    </x:row>
    <x:row r="127">
      <x:c r="A127" s="14"/>
      <x:c r="B127" s="14"/>
      <x:c r="C127" s="14"/>
      <x:c r="D127" s="14"/>
      <x:c r="E127" s="14"/>
      <x:c r="F127" s="14"/>
      <x:c r="G127" s="14"/>
      <x:c r="H127" s="14"/>
      <x:c r="I127" s="14"/>
      <x:c r="J127" s="14"/>
      <x:c r="K127" s="14"/>
      <x:c r="L127" s="14"/>
      <x:c r="M127" s="14"/>
      <x:c r="N127" s="14"/>
      <x:c r="O127" s="17"/>
      <x:c r="P127" s="17"/>
      <x:c r="Q127" s="17"/>
      <x:c r="R127" s="14"/>
      <x:c r="S127" s="14"/>
      <x:c r="T127" s="14"/>
    </x:row>
    <x:row r="128">
      <x:c r="A128" s="14"/>
      <x:c r="B128" s="14"/>
      <x:c r="C128" s="14"/>
      <x:c r="D128" s="14"/>
      <x:c r="E128" s="14"/>
      <x:c r="F128" s="14"/>
      <x:c r="G128" s="14"/>
      <x:c r="H128" s="14"/>
      <x:c r="I128" s="14"/>
      <x:c r="J128" s="14"/>
      <x:c r="K128" s="14"/>
      <x:c r="L128" s="14"/>
      <x:c r="M128" s="14"/>
      <x:c r="N128" s="14"/>
      <x:c r="O128" s="17"/>
      <x:c r="P128" s="17"/>
      <x:c r="Q128" s="17"/>
      <x:c r="R128" s="14"/>
      <x:c r="S128" s="14"/>
      <x:c r="T128" s="14"/>
    </x:row>
    <x:row r="129">
      <x:c r="A129" s="14"/>
      <x:c r="B129" s="14"/>
      <x:c r="C129" s="14"/>
      <x:c r="D129" s="14"/>
      <x:c r="E129" s="14"/>
      <x:c r="F129" s="14"/>
      <x:c r="G129" s="14"/>
      <x:c r="H129" s="14"/>
      <x:c r="I129" s="14"/>
      <x:c r="J129" s="14"/>
      <x:c r="K129" s="14"/>
      <x:c r="L129" s="14"/>
      <x:c r="M129" s="14"/>
      <x:c r="N129" s="14"/>
      <x:c r="O129" s="17"/>
      <x:c r="P129" s="17"/>
      <x:c r="Q129" s="17"/>
      <x:c r="R129" s="14"/>
      <x:c r="S129" s="14"/>
      <x:c r="T129" s="14"/>
    </x:row>
    <x:row r="130">
      <x:c r="A130" s="14"/>
      <x:c r="B130" s="14"/>
      <x:c r="C130" s="14"/>
      <x:c r="D130" s="14"/>
      <x:c r="E130" s="14"/>
      <x:c r="F130" s="14"/>
      <x:c r="G130" s="14"/>
      <x:c r="H130" s="14"/>
      <x:c r="I130" s="14"/>
      <x:c r="J130" s="14"/>
      <x:c r="K130" s="14"/>
      <x:c r="L130" s="14"/>
      <x:c r="M130" s="14"/>
      <x:c r="N130" s="14"/>
      <x:c r="O130" s="17"/>
      <x:c r="P130" s="17"/>
      <x:c r="Q130" s="17"/>
      <x:c r="R130" s="14"/>
      <x:c r="S130" s="14"/>
      <x:c r="T130" s="14"/>
    </x:row>
    <x:row r="131">
      <x:c r="A131" s="14"/>
      <x:c r="B131" s="14"/>
      <x:c r="C131" s="14"/>
      <x:c r="D131" s="14"/>
      <x:c r="E131" s="14"/>
      <x:c r="F131" s="14"/>
      <x:c r="G131" s="14"/>
      <x:c r="H131" s="14"/>
      <x:c r="I131" s="14"/>
      <x:c r="J131" s="14"/>
      <x:c r="K131" s="14"/>
      <x:c r="L131" s="14"/>
      <x:c r="M131" s="14"/>
      <x:c r="N131" s="14"/>
      <x:c r="O131" s="17"/>
      <x:c r="P131" s="17"/>
      <x:c r="Q131" s="17"/>
      <x:c r="R131" s="14"/>
      <x:c r="S131" s="14"/>
      <x:c r="T131" s="14"/>
    </x:row>
    <x:row r="132">
      <x:c r="A132" s="14"/>
      <x:c r="B132" s="14"/>
      <x:c r="C132" s="14"/>
      <x:c r="D132" s="14"/>
      <x:c r="E132" s="14"/>
      <x:c r="F132" s="14"/>
      <x:c r="G132" s="14"/>
      <x:c r="H132" s="14"/>
      <x:c r="I132" s="14"/>
      <x:c r="J132" s="14"/>
      <x:c r="K132" s="14"/>
      <x:c r="L132" s="14"/>
      <x:c r="M132" s="14"/>
      <x:c r="N132" s="14"/>
      <x:c r="O132" s="17"/>
      <x:c r="P132" s="17"/>
      <x:c r="Q132" s="17"/>
      <x:c r="R132" s="14"/>
      <x:c r="S132" s="14"/>
      <x:c r="T132" s="14"/>
    </x:row>
    <x:row r="133">
      <x:c r="A133" s="14"/>
      <x:c r="B133" s="14"/>
      <x:c r="C133" s="14"/>
      <x:c r="D133" s="14"/>
      <x:c r="E133" s="14"/>
      <x:c r="F133" s="14"/>
      <x:c r="G133" s="14"/>
      <x:c r="H133" s="14"/>
      <x:c r="I133" s="14"/>
      <x:c r="J133" s="14"/>
      <x:c r="K133" s="14"/>
      <x:c r="L133" s="14"/>
      <x:c r="M133" s="14"/>
      <x:c r="N133" s="14"/>
      <x:c r="O133" s="17"/>
      <x:c r="P133" s="17"/>
      <x:c r="Q133" s="17"/>
      <x:c r="R133" s="14"/>
      <x:c r="S133" s="14"/>
      <x:c r="T133" s="14"/>
    </x:row>
    <x:row r="134">
      <x:c r="A134" s="14"/>
      <x:c r="B134" s="14"/>
      <x:c r="C134" s="14"/>
      <x:c r="D134" s="14"/>
      <x:c r="E134" s="14"/>
      <x:c r="F134" s="14"/>
      <x:c r="G134" s="14"/>
      <x:c r="H134" s="14"/>
      <x:c r="I134" s="14"/>
      <x:c r="J134" s="14"/>
      <x:c r="K134" s="14"/>
      <x:c r="L134" s="14"/>
      <x:c r="M134" s="14"/>
      <x:c r="N134" s="14"/>
      <x:c r="O134" s="17"/>
      <x:c r="P134" s="17"/>
      <x:c r="Q134" s="17"/>
      <x:c r="R134" s="14"/>
      <x:c r="S134" s="14"/>
      <x:c r="T134" s="14"/>
    </x:row>
    <x:row r="135">
      <x:c r="A135" s="14"/>
      <x:c r="B135" s="14"/>
      <x:c r="C135" s="14"/>
      <x:c r="D135" s="14"/>
      <x:c r="E135" s="14"/>
      <x:c r="F135" s="14"/>
      <x:c r="G135" s="14"/>
      <x:c r="H135" s="14"/>
      <x:c r="I135" s="14"/>
      <x:c r="J135" s="14"/>
      <x:c r="K135" s="14"/>
      <x:c r="L135" s="14"/>
      <x:c r="M135" s="14"/>
      <x:c r="N135" s="14"/>
      <x:c r="O135" s="17"/>
      <x:c r="P135" s="17"/>
      <x:c r="Q135" s="17"/>
      <x:c r="R135" s="14"/>
      <x:c r="S135" s="14"/>
      <x:c r="T135" s="14"/>
    </x:row>
    <x:row r="136">
      <x:c r="A136" s="14"/>
      <x:c r="B136" s="14"/>
      <x:c r="C136" s="14"/>
      <x:c r="D136" s="14"/>
      <x:c r="E136" s="14"/>
      <x:c r="F136" s="14"/>
      <x:c r="G136" s="14"/>
      <x:c r="H136" s="14"/>
      <x:c r="I136" s="14"/>
      <x:c r="J136" s="14"/>
      <x:c r="K136" s="14"/>
      <x:c r="L136" s="14"/>
      <x:c r="M136" s="14"/>
      <x:c r="N136" s="14"/>
      <x:c r="O136" s="17"/>
      <x:c r="P136" s="17"/>
      <x:c r="Q136" s="17"/>
      <x:c r="R136" s="14"/>
      <x:c r="S136" s="14"/>
      <x:c r="T136" s="14"/>
    </x:row>
    <x:row r="137">
      <x:c r="A137" s="14"/>
      <x:c r="B137" s="14"/>
      <x:c r="C137" s="14"/>
      <x:c r="D137" s="14"/>
      <x:c r="E137" s="14"/>
      <x:c r="F137" s="14"/>
      <x:c r="G137" s="14"/>
      <x:c r="H137" s="14"/>
      <x:c r="I137" s="14"/>
      <x:c r="J137" s="14"/>
      <x:c r="K137" s="14"/>
      <x:c r="L137" s="14"/>
      <x:c r="M137" s="14"/>
      <x:c r="N137" s="14"/>
      <x:c r="O137" s="17"/>
      <x:c r="P137" s="17"/>
      <x:c r="Q137" s="17"/>
      <x:c r="R137" s="14"/>
      <x:c r="S137" s="14"/>
      <x:c r="T137" s="14"/>
    </x:row>
    <x:row r="138">
      <x:c r="A138" s="14"/>
      <x:c r="B138" s="14"/>
      <x:c r="C138" s="14"/>
      <x:c r="D138" s="14"/>
      <x:c r="E138" s="14"/>
      <x:c r="F138" s="14"/>
      <x:c r="G138" s="14"/>
      <x:c r="H138" s="14"/>
      <x:c r="I138" s="14"/>
      <x:c r="J138" s="14"/>
      <x:c r="K138" s="14"/>
      <x:c r="L138" s="14"/>
      <x:c r="M138" s="14"/>
      <x:c r="N138" s="14"/>
      <x:c r="O138" s="17"/>
      <x:c r="P138" s="17"/>
      <x:c r="Q138" s="17"/>
      <x:c r="R138" s="14"/>
      <x:c r="S138" s="14"/>
      <x:c r="T138" s="14"/>
    </x:row>
    <x:row r="139">
      <x:c r="A139" s="14"/>
      <x:c r="B139" s="14"/>
      <x:c r="C139" s="14"/>
      <x:c r="D139" s="14"/>
      <x:c r="E139" s="14"/>
      <x:c r="F139" s="14"/>
      <x:c r="G139" s="14"/>
      <x:c r="H139" s="14"/>
      <x:c r="I139" s="14"/>
      <x:c r="J139" s="14"/>
      <x:c r="K139" s="14"/>
      <x:c r="L139" s="14"/>
      <x:c r="M139" s="14"/>
      <x:c r="N139" s="14"/>
      <x:c r="O139" s="17"/>
      <x:c r="P139" s="17"/>
      <x:c r="Q139" s="17"/>
      <x:c r="R139" s="14"/>
      <x:c r="S139" s="14"/>
      <x:c r="T139" s="14"/>
    </x:row>
    <x:row r="140">
      <x:c r="A140" s="14"/>
      <x:c r="B140" s="14"/>
      <x:c r="C140" s="14"/>
      <x:c r="D140" s="14"/>
      <x:c r="E140" s="14"/>
      <x:c r="F140" s="14"/>
      <x:c r="G140" s="14"/>
      <x:c r="H140" s="14"/>
      <x:c r="I140" s="14"/>
      <x:c r="J140" s="14"/>
      <x:c r="K140" s="14"/>
      <x:c r="L140" s="14"/>
      <x:c r="M140" s="14"/>
      <x:c r="N140" s="14"/>
      <x:c r="O140" s="17"/>
      <x:c r="P140" s="17"/>
      <x:c r="Q140" s="17"/>
      <x:c r="R140" s="14"/>
      <x:c r="S140" s="14"/>
      <x:c r="T140" s="14"/>
    </x:row>
    <x:row r="141">
      <x:c r="A141" s="14"/>
      <x:c r="B141" s="14"/>
      <x:c r="C141" s="14"/>
      <x:c r="D141" s="14"/>
      <x:c r="E141" s="14"/>
      <x:c r="F141" s="14"/>
      <x:c r="G141" s="14"/>
      <x:c r="H141" s="14"/>
      <x:c r="I141" s="14"/>
      <x:c r="J141" s="14"/>
      <x:c r="K141" s="14"/>
      <x:c r="L141" s="14"/>
      <x:c r="M141" s="14"/>
      <x:c r="N141" s="14"/>
      <x:c r="O141" s="17"/>
      <x:c r="P141" s="17"/>
      <x:c r="Q141" s="17"/>
      <x:c r="R141" s="14"/>
      <x:c r="S141" s="14"/>
      <x:c r="T141" s="14"/>
    </x:row>
    <x:row r="142">
      <x:c r="A142" s="14"/>
      <x:c r="B142" s="14"/>
      <x:c r="C142" s="14"/>
      <x:c r="D142" s="14"/>
      <x:c r="E142" s="14"/>
      <x:c r="F142" s="14"/>
      <x:c r="G142" s="14"/>
      <x:c r="H142" s="14"/>
      <x:c r="I142" s="14"/>
      <x:c r="J142" s="14"/>
      <x:c r="K142" s="14"/>
      <x:c r="L142" s="14"/>
      <x:c r="M142" s="14"/>
      <x:c r="N142" s="14"/>
      <x:c r="O142" s="17"/>
      <x:c r="P142" s="17"/>
      <x:c r="Q142" s="17"/>
      <x:c r="R142" s="14"/>
      <x:c r="S142" s="14"/>
      <x:c r="T142" s="14"/>
    </x:row>
    <x:row r="143">
      <x:c r="A143" s="14"/>
      <x:c r="B143" s="14"/>
      <x:c r="C143" s="14"/>
      <x:c r="D143" s="14"/>
      <x:c r="E143" s="14"/>
      <x:c r="F143" s="14"/>
      <x:c r="G143" s="14"/>
      <x:c r="H143" s="14"/>
      <x:c r="I143" s="14"/>
      <x:c r="J143" s="14"/>
      <x:c r="K143" s="14"/>
      <x:c r="L143" s="14"/>
      <x:c r="M143" s="14"/>
      <x:c r="N143" s="14"/>
      <x:c r="O143" s="17"/>
      <x:c r="P143" s="17"/>
      <x:c r="Q143" s="17"/>
      <x:c r="R143" s="14"/>
      <x:c r="S143" s="14"/>
      <x:c r="T143" s="14"/>
    </x:row>
    <x:row r="144">
      <x:c r="A144" s="14"/>
      <x:c r="B144" s="14"/>
      <x:c r="C144" s="14"/>
      <x:c r="D144" s="14"/>
      <x:c r="E144" s="14"/>
      <x:c r="F144" s="14"/>
      <x:c r="G144" s="14"/>
      <x:c r="H144" s="14"/>
      <x:c r="I144" s="14"/>
      <x:c r="J144" s="14"/>
      <x:c r="K144" s="14"/>
      <x:c r="L144" s="14"/>
      <x:c r="M144" s="14"/>
      <x:c r="N144" s="14"/>
      <x:c r="O144" s="17"/>
      <x:c r="P144" s="17"/>
      <x:c r="Q144" s="17"/>
      <x:c r="R144" s="14"/>
      <x:c r="S144" s="14"/>
      <x:c r="T144" s="14"/>
    </x:row>
    <x:row r="145">
      <x:c r="A145" s="14"/>
      <x:c r="B145" s="14"/>
      <x:c r="C145" s="14"/>
      <x:c r="D145" s="14"/>
      <x:c r="E145" s="14"/>
      <x:c r="F145" s="14"/>
      <x:c r="G145" s="14"/>
      <x:c r="H145" s="14"/>
      <x:c r="I145" s="14"/>
      <x:c r="J145" s="14"/>
      <x:c r="K145" s="14"/>
      <x:c r="L145" s="14"/>
      <x:c r="M145" s="14"/>
      <x:c r="N145" s="14"/>
      <x:c r="O145" s="17"/>
      <x:c r="P145" s="17"/>
      <x:c r="Q145" s="17"/>
      <x:c r="R145" s="14"/>
      <x:c r="S145" s="14"/>
      <x:c r="T145" s="14"/>
    </x:row>
    <x:row r="146">
      <x:c r="A146" s="14"/>
      <x:c r="B146" s="14"/>
      <x:c r="C146" s="14"/>
      <x:c r="D146" s="14"/>
      <x:c r="E146" s="14"/>
      <x:c r="F146" s="14"/>
      <x:c r="G146" s="14"/>
      <x:c r="H146" s="14"/>
      <x:c r="I146" s="14"/>
      <x:c r="J146" s="14"/>
      <x:c r="K146" s="14"/>
      <x:c r="L146" s="14"/>
      <x:c r="M146" s="14"/>
      <x:c r="N146" s="14"/>
      <x:c r="O146" s="17"/>
      <x:c r="P146" s="17"/>
      <x:c r="Q146" s="17"/>
      <x:c r="R146" s="14"/>
      <x:c r="S146" s="14"/>
      <x:c r="T146" s="14"/>
    </x:row>
    <x:row r="147">
      <x:c r="A147" s="14"/>
      <x:c r="B147" s="14"/>
      <x:c r="C147" s="14"/>
      <x:c r="D147" s="14"/>
      <x:c r="E147" s="14"/>
      <x:c r="F147" s="14"/>
      <x:c r="G147" s="14"/>
      <x:c r="H147" s="14"/>
      <x:c r="I147" s="14"/>
      <x:c r="J147" s="14"/>
      <x:c r="K147" s="14"/>
      <x:c r="L147" s="14"/>
      <x:c r="M147" s="14"/>
      <x:c r="N147" s="14"/>
      <x:c r="O147" s="17"/>
      <x:c r="P147" s="17"/>
      <x:c r="Q147" s="17"/>
      <x:c r="R147" s="14"/>
      <x:c r="S147" s="14"/>
      <x:c r="T147" s="14"/>
    </x:row>
    <x:row r="148">
      <x:c r="A148" s="14"/>
      <x:c r="B148" s="14"/>
      <x:c r="C148" s="14"/>
      <x:c r="D148" s="14"/>
      <x:c r="E148" s="14"/>
      <x:c r="F148" s="14"/>
      <x:c r="G148" s="14"/>
      <x:c r="H148" s="14"/>
      <x:c r="I148" s="14"/>
      <x:c r="J148" s="14"/>
      <x:c r="K148" s="14"/>
      <x:c r="L148" s="14"/>
      <x:c r="M148" s="14"/>
      <x:c r="N148" s="14"/>
      <x:c r="O148" s="17"/>
      <x:c r="P148" s="17"/>
      <x:c r="Q148" s="17"/>
      <x:c r="R148" s="14"/>
      <x:c r="S148" s="14"/>
      <x:c r="T148" s="14"/>
    </x:row>
    <x:row r="149">
      <x:c r="A149" s="14"/>
      <x:c r="B149" s="14"/>
      <x:c r="C149" s="14"/>
      <x:c r="D149" s="14"/>
      <x:c r="E149" s="14"/>
      <x:c r="F149" s="14"/>
      <x:c r="G149" s="14"/>
      <x:c r="H149" s="14"/>
      <x:c r="I149" s="14"/>
      <x:c r="J149" s="14"/>
      <x:c r="K149" s="14"/>
      <x:c r="L149" s="14"/>
      <x:c r="M149" s="14"/>
      <x:c r="N149" s="14"/>
      <x:c r="O149" s="17"/>
      <x:c r="P149" s="17"/>
      <x:c r="Q149" s="17"/>
      <x:c r="R149" s="14"/>
      <x:c r="S149" s="14"/>
      <x:c r="T149" s="14"/>
    </x:row>
    <x:row r="150">
      <x:c r="A150" s="14"/>
      <x:c r="B150" s="14"/>
      <x:c r="C150" s="14"/>
      <x:c r="D150" s="14"/>
      <x:c r="E150" s="14"/>
      <x:c r="F150" s="14"/>
      <x:c r="G150" s="14"/>
      <x:c r="H150" s="14"/>
      <x:c r="I150" s="14"/>
      <x:c r="J150" s="14"/>
      <x:c r="K150" s="14"/>
      <x:c r="L150" s="14"/>
      <x:c r="M150" s="14"/>
      <x:c r="N150" s="14"/>
      <x:c r="O150" s="17"/>
      <x:c r="P150" s="17"/>
      <x:c r="Q150" s="17"/>
      <x:c r="R150" s="14"/>
      <x:c r="S150" s="14"/>
      <x:c r="T150" s="14"/>
    </x:row>
    <x:row r="151">
      <x:c r="A151" s="14"/>
      <x:c r="B151" s="14"/>
      <x:c r="C151" s="14"/>
      <x:c r="D151" s="14"/>
      <x:c r="E151" s="14"/>
      <x:c r="F151" s="14"/>
      <x:c r="G151" s="14"/>
      <x:c r="H151" s="14"/>
      <x:c r="I151" s="14"/>
      <x:c r="J151" s="14"/>
      <x:c r="K151" s="14"/>
      <x:c r="L151" s="14"/>
      <x:c r="M151" s="14"/>
      <x:c r="N151" s="14"/>
      <x:c r="O151" s="17"/>
      <x:c r="P151" s="17"/>
      <x:c r="Q151" s="17"/>
      <x:c r="R151" s="14"/>
      <x:c r="S151" s="14"/>
      <x:c r="T151" s="14"/>
    </x:row>
    <x:row r="152">
      <x:c r="A152" s="14"/>
      <x:c r="B152" s="14"/>
      <x:c r="C152" s="14"/>
      <x:c r="D152" s="14"/>
      <x:c r="E152" s="14"/>
      <x:c r="F152" s="14"/>
      <x:c r="G152" s="14"/>
      <x:c r="H152" s="14"/>
      <x:c r="I152" s="14"/>
      <x:c r="J152" s="14"/>
      <x:c r="K152" s="14"/>
      <x:c r="L152" s="14"/>
      <x:c r="M152" s="14"/>
      <x:c r="N152" s="14"/>
      <x:c r="O152" s="17"/>
      <x:c r="P152" s="17"/>
      <x:c r="Q152" s="17"/>
      <x:c r="R152" s="14"/>
      <x:c r="S152" s="14"/>
      <x:c r="T152" s="14"/>
    </x:row>
    <x:row r="153">
      <x:c r="A153" s="14"/>
      <x:c r="B153" s="14"/>
      <x:c r="C153" s="14"/>
      <x:c r="D153" s="14"/>
      <x:c r="E153" s="14"/>
      <x:c r="F153" s="14"/>
      <x:c r="G153" s="14"/>
      <x:c r="H153" s="14"/>
      <x:c r="I153" s="14"/>
      <x:c r="J153" s="14"/>
      <x:c r="K153" s="14"/>
      <x:c r="L153" s="14"/>
      <x:c r="M153" s="14"/>
      <x:c r="N153" s="14"/>
      <x:c r="O153" s="17"/>
      <x:c r="P153" s="17"/>
      <x:c r="Q153" s="17"/>
      <x:c r="R153" s="14"/>
      <x:c r="S153" s="14"/>
      <x:c r="T153" s="14"/>
    </x:row>
    <x:row r="154">
      <x:c r="A154" s="14"/>
      <x:c r="B154" s="14"/>
      <x:c r="C154" s="14"/>
      <x:c r="D154" s="14"/>
      <x:c r="E154" s="14"/>
      <x:c r="F154" s="14"/>
      <x:c r="G154" s="14"/>
      <x:c r="H154" s="14"/>
      <x:c r="I154" s="14"/>
      <x:c r="J154" s="14"/>
      <x:c r="K154" s="14"/>
      <x:c r="L154" s="14"/>
      <x:c r="M154" s="14"/>
      <x:c r="N154" s="14"/>
      <x:c r="O154" s="17"/>
      <x:c r="P154" s="17"/>
      <x:c r="Q154" s="17"/>
      <x:c r="R154" s="14"/>
      <x:c r="S154" s="14"/>
      <x:c r="T154" s="14"/>
    </x:row>
    <x:row r="155">
      <x:c r="A155" s="14"/>
      <x:c r="B155" s="14"/>
      <x:c r="C155" s="14"/>
      <x:c r="D155" s="14"/>
      <x:c r="E155" s="14"/>
      <x:c r="F155" s="14"/>
      <x:c r="G155" s="14"/>
      <x:c r="H155" s="14"/>
      <x:c r="I155" s="14"/>
      <x:c r="J155" s="14"/>
      <x:c r="K155" s="14"/>
      <x:c r="L155" s="14"/>
      <x:c r="M155" s="14"/>
      <x:c r="N155" s="14"/>
      <x:c r="O155" s="17"/>
      <x:c r="P155" s="17"/>
      <x:c r="Q155" s="17"/>
      <x:c r="R155" s="14"/>
      <x:c r="S155" s="14"/>
      <x:c r="T155" s="14"/>
    </x:row>
    <x:row r="156">
      <x:c r="A156" s="14"/>
      <x:c r="B156" s="14"/>
      <x:c r="C156" s="14"/>
      <x:c r="D156" s="14"/>
      <x:c r="E156" s="14"/>
      <x:c r="F156" s="14"/>
      <x:c r="G156" s="14"/>
      <x:c r="H156" s="14"/>
      <x:c r="I156" s="14"/>
      <x:c r="J156" s="14"/>
      <x:c r="K156" s="14"/>
      <x:c r="L156" s="14"/>
      <x:c r="M156" s="14"/>
      <x:c r="N156" s="14"/>
      <x:c r="O156" s="17"/>
      <x:c r="P156" s="17"/>
      <x:c r="Q156" s="17"/>
      <x:c r="R156" s="14"/>
      <x:c r="S156" s="14"/>
      <x:c r="T156" s="14"/>
    </x:row>
    <x:row r="157">
      <x:c r="A157" s="14"/>
      <x:c r="B157" s="14"/>
      <x:c r="C157" s="14"/>
      <x:c r="D157" s="14"/>
      <x:c r="E157" s="14"/>
      <x:c r="F157" s="14"/>
      <x:c r="G157" s="14"/>
      <x:c r="H157" s="14"/>
      <x:c r="I157" s="14"/>
      <x:c r="J157" s="14"/>
      <x:c r="K157" s="14"/>
      <x:c r="L157" s="14"/>
      <x:c r="M157" s="14"/>
      <x:c r="N157" s="14"/>
      <x:c r="O157" s="17"/>
      <x:c r="P157" s="17"/>
      <x:c r="Q157" s="17"/>
      <x:c r="R157" s="14"/>
      <x:c r="S157" s="14"/>
      <x:c r="T157" s="14"/>
    </x:row>
    <x:row r="158">
      <x:c r="A158" s="14"/>
      <x:c r="B158" s="14"/>
      <x:c r="C158" s="14"/>
      <x:c r="D158" s="14"/>
      <x:c r="E158" s="14"/>
      <x:c r="F158" s="14"/>
      <x:c r="G158" s="14"/>
      <x:c r="H158" s="14"/>
      <x:c r="I158" s="14"/>
      <x:c r="J158" s="14"/>
      <x:c r="K158" s="14"/>
      <x:c r="L158" s="14"/>
      <x:c r="M158" s="14"/>
      <x:c r="N158" s="14"/>
      <x:c r="O158" s="17"/>
      <x:c r="P158" s="17"/>
      <x:c r="Q158" s="17"/>
      <x:c r="R158" s="14"/>
      <x:c r="S158" s="14"/>
      <x:c r="T158" s="14"/>
    </x:row>
    <x:row r="159">
      <x:c r="A159" s="14"/>
      <x:c r="B159" s="14"/>
      <x:c r="C159" s="14"/>
      <x:c r="D159" s="14"/>
      <x:c r="E159" s="14"/>
      <x:c r="F159" s="14"/>
      <x:c r="G159" s="14"/>
      <x:c r="H159" s="14"/>
      <x:c r="I159" s="14"/>
      <x:c r="J159" s="14"/>
      <x:c r="K159" s="14"/>
      <x:c r="L159" s="14"/>
      <x:c r="M159" s="14"/>
      <x:c r="N159" s="14"/>
      <x:c r="O159" s="17"/>
      <x:c r="P159" s="17"/>
      <x:c r="Q159" s="17"/>
      <x:c r="R159" s="14"/>
      <x:c r="S159" s="14"/>
      <x:c r="T159" s="14"/>
    </x:row>
    <x:row r="160">
      <x:c r="A160" s="14"/>
      <x:c r="B160" s="14"/>
      <x:c r="C160" s="14"/>
      <x:c r="D160" s="14"/>
      <x:c r="E160" s="14"/>
      <x:c r="F160" s="14"/>
      <x:c r="G160" s="14"/>
      <x:c r="H160" s="14"/>
      <x:c r="I160" s="14"/>
      <x:c r="J160" s="14"/>
      <x:c r="K160" s="14"/>
      <x:c r="L160" s="14"/>
      <x:c r="M160" s="14"/>
      <x:c r="N160" s="14"/>
      <x:c r="O160" s="17"/>
      <x:c r="P160" s="17"/>
      <x:c r="Q160" s="17"/>
      <x:c r="R160" s="14"/>
      <x:c r="S160" s="14"/>
      <x:c r="T160" s="14"/>
    </x:row>
    <x:row r="161">
      <x:c r="A161" s="14"/>
      <x:c r="B161" s="14"/>
      <x:c r="C161" s="14"/>
      <x:c r="D161" s="14"/>
      <x:c r="E161" s="14"/>
      <x:c r="F161" s="14"/>
      <x:c r="G161" s="14"/>
      <x:c r="H161" s="14"/>
      <x:c r="I161" s="14"/>
      <x:c r="J161" s="14"/>
      <x:c r="K161" s="14"/>
      <x:c r="L161" s="14"/>
      <x:c r="M161" s="14"/>
      <x:c r="N161" s="14"/>
      <x:c r="O161" s="17"/>
      <x:c r="P161" s="17"/>
      <x:c r="Q161" s="17"/>
      <x:c r="R161" s="14"/>
      <x:c r="S161" s="14"/>
      <x:c r="T161" s="14"/>
    </x:row>
    <x:row r="162">
      <x:c r="A162" s="14"/>
      <x:c r="B162" s="14"/>
      <x:c r="C162" s="14"/>
      <x:c r="D162" s="14"/>
      <x:c r="E162" s="14"/>
      <x:c r="F162" s="14"/>
      <x:c r="G162" s="14"/>
      <x:c r="H162" s="14"/>
      <x:c r="I162" s="14"/>
      <x:c r="J162" s="14"/>
      <x:c r="K162" s="14"/>
      <x:c r="L162" s="14"/>
      <x:c r="M162" s="14"/>
      <x:c r="N162" s="14"/>
      <x:c r="O162" s="17"/>
      <x:c r="P162" s="17"/>
      <x:c r="Q162" s="17"/>
      <x:c r="R162" s="14"/>
      <x:c r="S162" s="14"/>
      <x:c r="T162" s="14"/>
    </x:row>
    <x:row r="163">
      <x:c r="A163" s="14"/>
      <x:c r="B163" s="14"/>
      <x:c r="C163" s="14"/>
      <x:c r="D163" s="14"/>
      <x:c r="E163" s="14"/>
      <x:c r="F163" s="14"/>
      <x:c r="G163" s="14"/>
      <x:c r="H163" s="14"/>
      <x:c r="I163" s="14"/>
      <x:c r="J163" s="14"/>
      <x:c r="K163" s="14"/>
      <x:c r="L163" s="14"/>
      <x:c r="M163" s="14"/>
      <x:c r="N163" s="14"/>
      <x:c r="O163" s="17"/>
      <x:c r="P163" s="17"/>
      <x:c r="Q163" s="17"/>
      <x:c r="R163" s="14"/>
      <x:c r="S163" s="14"/>
      <x:c r="T163" s="14"/>
    </x:row>
    <x:row r="164">
      <x:c r="A164" s="14"/>
      <x:c r="B164" s="14"/>
      <x:c r="C164" s="14"/>
      <x:c r="D164" s="14"/>
      <x:c r="E164" s="14"/>
      <x:c r="F164" s="14"/>
      <x:c r="G164" s="14"/>
      <x:c r="H164" s="14"/>
      <x:c r="I164" s="14"/>
      <x:c r="J164" s="14"/>
      <x:c r="K164" s="14"/>
      <x:c r="L164" s="14"/>
      <x:c r="M164" s="14"/>
      <x:c r="N164" s="14"/>
      <x:c r="O164" s="17"/>
      <x:c r="P164" s="17"/>
      <x:c r="Q164" s="17"/>
      <x:c r="R164" s="14"/>
      <x:c r="S164" s="14"/>
      <x:c r="T164" s="14"/>
    </x:row>
    <x:row r="165">
      <x:c r="A165" s="14"/>
      <x:c r="B165" s="14"/>
      <x:c r="C165" s="14"/>
      <x:c r="D165" s="14"/>
      <x:c r="E165" s="14"/>
      <x:c r="F165" s="14"/>
      <x:c r="G165" s="14"/>
      <x:c r="H165" s="14"/>
      <x:c r="I165" s="14"/>
      <x:c r="J165" s="14"/>
      <x:c r="K165" s="14"/>
      <x:c r="L165" s="14"/>
      <x:c r="M165" s="14"/>
      <x:c r="N165" s="14"/>
      <x:c r="O165" s="17"/>
      <x:c r="P165" s="17"/>
      <x:c r="Q165" s="17"/>
      <x:c r="R165" s="14"/>
      <x:c r="S165" s="14"/>
      <x:c r="T165" s="14"/>
    </x:row>
    <x:row r="166">
      <x:c r="A166" s="14"/>
      <x:c r="B166" s="14"/>
      <x:c r="C166" s="14"/>
      <x:c r="D166" s="14"/>
      <x:c r="E166" s="14"/>
      <x:c r="F166" s="14"/>
      <x:c r="G166" s="14"/>
      <x:c r="H166" s="14"/>
      <x:c r="I166" s="14"/>
      <x:c r="J166" s="14"/>
      <x:c r="K166" s="14"/>
      <x:c r="L166" s="14"/>
      <x:c r="M166" s="14"/>
      <x:c r="N166" s="14"/>
      <x:c r="O166" s="17"/>
      <x:c r="P166" s="17"/>
      <x:c r="Q166" s="17"/>
      <x:c r="R166" s="14"/>
      <x:c r="S166" s="14"/>
      <x:c r="T166" s="14"/>
    </x:row>
    <x:row r="167">
      <x:c r="A167" s="14"/>
      <x:c r="B167" s="14"/>
      <x:c r="C167" s="14"/>
      <x:c r="D167" s="14"/>
      <x:c r="E167" s="14"/>
      <x:c r="F167" s="14"/>
      <x:c r="G167" s="14"/>
      <x:c r="H167" s="14"/>
      <x:c r="I167" s="14"/>
      <x:c r="J167" s="14"/>
      <x:c r="K167" s="14"/>
      <x:c r="L167" s="14"/>
      <x:c r="M167" s="14"/>
      <x:c r="N167" s="14"/>
      <x:c r="O167" s="17"/>
      <x:c r="P167" s="17"/>
      <x:c r="Q167" s="17"/>
      <x:c r="R167" s="14"/>
      <x:c r="S167" s="14"/>
      <x:c r="T167" s="14"/>
    </x:row>
    <x:row r="168">
      <x:c r="A168" s="14"/>
      <x:c r="B168" s="14"/>
      <x:c r="C168" s="14"/>
      <x:c r="D168" s="14"/>
      <x:c r="E168" s="14"/>
      <x:c r="F168" s="14"/>
      <x:c r="G168" s="14"/>
      <x:c r="H168" s="14"/>
      <x:c r="I168" s="14"/>
      <x:c r="J168" s="14"/>
      <x:c r="K168" s="14"/>
      <x:c r="L168" s="14"/>
      <x:c r="M168" s="14"/>
      <x:c r="N168" s="14"/>
      <x:c r="O168" s="17"/>
      <x:c r="P168" s="17"/>
      <x:c r="Q168" s="17"/>
      <x:c r="R168" s="14"/>
      <x:c r="S168" s="14"/>
      <x:c r="T168" s="14"/>
    </x:row>
    <x:row r="169">
      <x:c r="A169" s="14"/>
      <x:c r="B169" s="14"/>
      <x:c r="C169" s="14"/>
      <x:c r="D169" s="14"/>
      <x:c r="E169" s="14"/>
      <x:c r="F169" s="14"/>
      <x:c r="G169" s="14"/>
      <x:c r="H169" s="14"/>
      <x:c r="I169" s="14"/>
      <x:c r="J169" s="14"/>
      <x:c r="K169" s="14"/>
      <x:c r="L169" s="14"/>
      <x:c r="M169" s="14"/>
      <x:c r="N169" s="14"/>
      <x:c r="O169" s="17"/>
      <x:c r="P169" s="17"/>
      <x:c r="Q169" s="17"/>
      <x:c r="R169" s="14"/>
      <x:c r="S169" s="14"/>
      <x:c r="T169" s="14"/>
    </x:row>
    <x:row r="170">
      <x:c r="A170" s="14"/>
      <x:c r="B170" s="14"/>
      <x:c r="C170" s="14"/>
      <x:c r="D170" s="14"/>
      <x:c r="E170" s="14"/>
      <x:c r="F170" s="14"/>
      <x:c r="G170" s="14"/>
      <x:c r="H170" s="14"/>
      <x:c r="I170" s="14"/>
      <x:c r="J170" s="14"/>
      <x:c r="K170" s="14"/>
      <x:c r="L170" s="14"/>
      <x:c r="M170" s="14"/>
      <x:c r="N170" s="14"/>
      <x:c r="O170" s="17"/>
      <x:c r="P170" s="17"/>
      <x:c r="Q170" s="17"/>
      <x:c r="R170" s="14"/>
      <x:c r="S170" s="14"/>
      <x:c r="T170" s="14"/>
    </x:row>
    <x:row r="171">
      <x:c r="A171" s="14"/>
      <x:c r="B171" s="14"/>
      <x:c r="C171" s="14"/>
      <x:c r="D171" s="14"/>
      <x:c r="E171" s="14"/>
      <x:c r="F171" s="14"/>
      <x:c r="G171" s="14"/>
      <x:c r="H171" s="14"/>
      <x:c r="I171" s="14"/>
      <x:c r="J171" s="14"/>
      <x:c r="K171" s="14"/>
      <x:c r="L171" s="14"/>
      <x:c r="M171" s="14"/>
      <x:c r="N171" s="14"/>
      <x:c r="O171" s="17"/>
      <x:c r="P171" s="17"/>
      <x:c r="Q171" s="17"/>
      <x:c r="R171" s="14"/>
      <x:c r="S171" s="14"/>
      <x:c r="T171" s="14"/>
    </x:row>
    <x:row r="172">
      <x:c r="A172" s="14"/>
      <x:c r="B172" s="14"/>
      <x:c r="C172" s="14"/>
      <x:c r="D172" s="14"/>
      <x:c r="E172" s="14"/>
      <x:c r="F172" s="14"/>
      <x:c r="G172" s="14"/>
      <x:c r="H172" s="14"/>
      <x:c r="I172" s="14"/>
      <x:c r="J172" s="14"/>
      <x:c r="K172" s="14"/>
      <x:c r="L172" s="14"/>
      <x:c r="M172" s="14"/>
      <x:c r="N172" s="14"/>
      <x:c r="O172" s="17"/>
      <x:c r="P172" s="17"/>
      <x:c r="Q172" s="17"/>
      <x:c r="R172" s="14"/>
      <x:c r="S172" s="14"/>
      <x:c r="T172" s="14"/>
    </x:row>
    <x:row r="173">
      <x:c r="A173" s="14"/>
      <x:c r="B173" s="14"/>
      <x:c r="C173" s="14"/>
      <x:c r="D173" s="14"/>
      <x:c r="E173" s="14"/>
      <x:c r="F173" s="14"/>
      <x:c r="G173" s="14"/>
      <x:c r="H173" s="14"/>
      <x:c r="I173" s="14"/>
      <x:c r="J173" s="14"/>
      <x:c r="K173" s="14"/>
      <x:c r="L173" s="14"/>
      <x:c r="M173" s="14"/>
      <x:c r="N173" s="14"/>
      <x:c r="O173" s="17"/>
      <x:c r="P173" s="17"/>
      <x:c r="Q173" s="17"/>
      <x:c r="R173" s="14"/>
      <x:c r="S173" s="14"/>
      <x:c r="T173" s="14"/>
    </x:row>
    <x:row r="174">
      <x:c r="A174" s="14"/>
      <x:c r="B174" s="14"/>
      <x:c r="C174" s="14"/>
      <x:c r="D174" s="14"/>
      <x:c r="E174" s="14"/>
      <x:c r="F174" s="14"/>
      <x:c r="G174" s="14"/>
      <x:c r="H174" s="14"/>
      <x:c r="I174" s="14"/>
      <x:c r="J174" s="14"/>
      <x:c r="K174" s="14"/>
      <x:c r="L174" s="14"/>
      <x:c r="M174" s="14"/>
      <x:c r="N174" s="14"/>
      <x:c r="O174" s="17"/>
      <x:c r="P174" s="17"/>
      <x:c r="Q174" s="17"/>
      <x:c r="R174" s="14"/>
      <x:c r="S174" s="14"/>
      <x:c r="T174" s="14"/>
    </x:row>
    <x:row r="175">
      <x:c r="A175" s="14"/>
      <x:c r="B175" s="14"/>
      <x:c r="C175" s="14"/>
      <x:c r="D175" s="14"/>
      <x:c r="E175" s="14"/>
      <x:c r="F175" s="14"/>
      <x:c r="G175" s="14"/>
      <x:c r="H175" s="14"/>
      <x:c r="I175" s="14"/>
      <x:c r="J175" s="14"/>
      <x:c r="K175" s="14"/>
      <x:c r="L175" s="14"/>
      <x:c r="M175" s="14"/>
      <x:c r="N175" s="14"/>
      <x:c r="O175" s="17"/>
      <x:c r="P175" s="17"/>
      <x:c r="Q175" s="17"/>
      <x:c r="R175" s="14"/>
      <x:c r="S175" s="14"/>
      <x:c r="T175" s="14"/>
    </x:row>
    <x:row r="176">
      <x:c r="A176" s="14"/>
      <x:c r="B176" s="14"/>
      <x:c r="C176" s="14"/>
      <x:c r="D176" s="14"/>
      <x:c r="E176" s="14"/>
      <x:c r="F176" s="14"/>
      <x:c r="G176" s="14"/>
      <x:c r="H176" s="14"/>
      <x:c r="I176" s="14"/>
      <x:c r="J176" s="14"/>
      <x:c r="K176" s="14"/>
      <x:c r="L176" s="14"/>
      <x:c r="M176" s="14"/>
      <x:c r="N176" s="14"/>
      <x:c r="O176" s="17"/>
      <x:c r="P176" s="17"/>
      <x:c r="Q176" s="17"/>
      <x:c r="R176" s="14"/>
      <x:c r="S176" s="14"/>
      <x:c r="T176" s="14"/>
    </x:row>
    <x:row r="177">
      <x:c r="A177" s="14"/>
      <x:c r="B177" s="14"/>
      <x:c r="C177" s="14"/>
      <x:c r="D177" s="14"/>
      <x:c r="E177" s="14"/>
      <x:c r="F177" s="14"/>
      <x:c r="G177" s="14"/>
      <x:c r="H177" s="14"/>
      <x:c r="I177" s="14"/>
      <x:c r="J177" s="14"/>
      <x:c r="K177" s="14"/>
      <x:c r="L177" s="14"/>
      <x:c r="M177" s="14"/>
      <x:c r="N177" s="14"/>
      <x:c r="O177" s="17"/>
      <x:c r="P177" s="17"/>
      <x:c r="Q177" s="17"/>
      <x:c r="R177" s="14"/>
      <x:c r="S177" s="14"/>
      <x:c r="T177" s="14"/>
    </x:row>
    <x:row r="178">
      <x:c r="A178" s="14"/>
      <x:c r="B178" s="14"/>
      <x:c r="C178" s="14"/>
      <x:c r="D178" s="14"/>
      <x:c r="E178" s="14"/>
      <x:c r="F178" s="14"/>
      <x:c r="G178" s="14"/>
      <x:c r="H178" s="14"/>
      <x:c r="I178" s="14"/>
      <x:c r="J178" s="14"/>
      <x:c r="K178" s="14"/>
      <x:c r="L178" s="14"/>
      <x:c r="M178" s="14"/>
      <x:c r="N178" s="14"/>
      <x:c r="O178" s="17"/>
      <x:c r="P178" s="17"/>
      <x:c r="Q178" s="17"/>
      <x:c r="R178" s="14"/>
      <x:c r="S178" s="14"/>
      <x:c r="T178" s="14"/>
    </x:row>
    <x:row r="179">
      <x:c r="A179" s="14"/>
      <x:c r="B179" s="14"/>
      <x:c r="C179" s="14"/>
      <x:c r="D179" s="14"/>
      <x:c r="E179" s="14"/>
      <x:c r="F179" s="14"/>
      <x:c r="G179" s="14"/>
      <x:c r="H179" s="14"/>
      <x:c r="I179" s="14"/>
      <x:c r="J179" s="14"/>
      <x:c r="K179" s="14"/>
      <x:c r="L179" s="14"/>
      <x:c r="M179" s="14"/>
      <x:c r="N179" s="14"/>
      <x:c r="O179" s="17"/>
      <x:c r="P179" s="17"/>
      <x:c r="Q179" s="17"/>
      <x:c r="R179" s="14"/>
      <x:c r="S179" s="14"/>
      <x:c r="T179" s="14"/>
    </x:row>
    <x:row r="180">
      <x:c r="A180" s="14"/>
      <x:c r="B180" s="14"/>
      <x:c r="C180" s="14"/>
      <x:c r="D180" s="14"/>
      <x:c r="E180" s="14"/>
      <x:c r="F180" s="14"/>
      <x:c r="G180" s="14"/>
      <x:c r="H180" s="14"/>
      <x:c r="I180" s="14"/>
      <x:c r="J180" s="14"/>
      <x:c r="K180" s="14"/>
      <x:c r="L180" s="14"/>
      <x:c r="M180" s="14"/>
      <x:c r="N180" s="14"/>
      <x:c r="O180" s="17"/>
      <x:c r="P180" s="17"/>
      <x:c r="Q180" s="17"/>
      <x:c r="R180" s="14"/>
      <x:c r="S180" s="14"/>
      <x:c r="T180" s="14"/>
    </x:row>
    <x:row r="181">
      <x:c r="A181" s="14"/>
      <x:c r="B181" s="14"/>
      <x:c r="C181" s="14"/>
      <x:c r="D181" s="14"/>
      <x:c r="E181" s="14"/>
      <x:c r="F181" s="14"/>
      <x:c r="G181" s="14"/>
      <x:c r="H181" s="14"/>
      <x:c r="I181" s="14"/>
      <x:c r="J181" s="14"/>
      <x:c r="K181" s="14"/>
      <x:c r="L181" s="14"/>
      <x:c r="M181" s="14"/>
      <x:c r="N181" s="14"/>
      <x:c r="O181" s="17"/>
      <x:c r="P181" s="17"/>
      <x:c r="Q181" s="17"/>
      <x:c r="R181" s="14"/>
      <x:c r="S181" s="14"/>
      <x:c r="T181" s="14"/>
    </x:row>
    <x:row r="182">
      <x:c r="A182" s="14"/>
      <x:c r="B182" s="14"/>
      <x:c r="C182" s="14"/>
      <x:c r="D182" s="14"/>
      <x:c r="E182" s="14"/>
      <x:c r="F182" s="14"/>
      <x:c r="G182" s="14"/>
      <x:c r="H182" s="14"/>
      <x:c r="I182" s="14"/>
      <x:c r="J182" s="14"/>
      <x:c r="K182" s="14"/>
      <x:c r="L182" s="14"/>
      <x:c r="M182" s="14"/>
      <x:c r="N182" s="14"/>
      <x:c r="O182" s="17"/>
      <x:c r="P182" s="17"/>
      <x:c r="Q182" s="17"/>
      <x:c r="R182" s="14"/>
      <x:c r="S182" s="14"/>
      <x:c r="T182" s="14"/>
    </x:row>
    <x:row r="183">
      <x:c r="A183" s="14"/>
      <x:c r="B183" s="14"/>
      <x:c r="C183" s="14"/>
      <x:c r="D183" s="14"/>
      <x:c r="E183" s="14"/>
      <x:c r="F183" s="14"/>
      <x:c r="G183" s="14"/>
      <x:c r="H183" s="14"/>
      <x:c r="I183" s="14"/>
      <x:c r="J183" s="14"/>
      <x:c r="K183" s="14"/>
      <x:c r="L183" s="14"/>
      <x:c r="M183" s="14"/>
      <x:c r="N183" s="14"/>
      <x:c r="O183" s="17"/>
      <x:c r="P183" s="17"/>
      <x:c r="Q183" s="17"/>
      <x:c r="R183" s="14"/>
      <x:c r="S183" s="14"/>
      <x:c r="T183" s="14"/>
    </x:row>
    <x:row r="184">
      <x:c r="A184" s="14"/>
      <x:c r="B184" s="14"/>
      <x:c r="C184" s="14"/>
      <x:c r="D184" s="14"/>
      <x:c r="E184" s="14"/>
      <x:c r="F184" s="14"/>
      <x:c r="G184" s="14"/>
      <x:c r="H184" s="14"/>
      <x:c r="I184" s="14"/>
      <x:c r="J184" s="14"/>
      <x:c r="K184" s="14"/>
      <x:c r="L184" s="14"/>
      <x:c r="M184" s="14"/>
      <x:c r="N184" s="14"/>
      <x:c r="O184" s="17"/>
      <x:c r="P184" s="17"/>
      <x:c r="Q184" s="17"/>
      <x:c r="R184" s="14"/>
      <x:c r="S184" s="14"/>
      <x:c r="T184" s="14"/>
    </x:row>
    <x:row r="185">
      <x:c r="A185" s="14"/>
      <x:c r="B185" s="14"/>
      <x:c r="C185" s="14"/>
      <x:c r="D185" s="14"/>
      <x:c r="E185" s="14"/>
      <x:c r="F185" s="14"/>
      <x:c r="G185" s="14"/>
      <x:c r="H185" s="14"/>
      <x:c r="I185" s="14"/>
      <x:c r="J185" s="14"/>
      <x:c r="K185" s="14"/>
      <x:c r="L185" s="14"/>
      <x:c r="M185" s="14"/>
      <x:c r="N185" s="14"/>
      <x:c r="O185" s="17"/>
      <x:c r="P185" s="17"/>
      <x:c r="Q185" s="17"/>
      <x:c r="R185" s="14"/>
      <x:c r="S185" s="14"/>
      <x:c r="T185" s="14"/>
    </x:row>
    <x:row r="186">
      <x:c r="A186" s="14"/>
      <x:c r="B186" s="14"/>
      <x:c r="C186" s="14"/>
      <x:c r="D186" s="14"/>
      <x:c r="E186" s="14"/>
      <x:c r="F186" s="14"/>
      <x:c r="G186" s="14"/>
      <x:c r="H186" s="14"/>
      <x:c r="I186" s="14"/>
      <x:c r="J186" s="14"/>
      <x:c r="K186" s="14"/>
      <x:c r="L186" s="14"/>
      <x:c r="M186" s="14"/>
      <x:c r="N186" s="14"/>
      <x:c r="O186" s="17"/>
      <x:c r="P186" s="17"/>
      <x:c r="Q186" s="17"/>
      <x:c r="R186" s="14"/>
      <x:c r="S186" s="14"/>
      <x:c r="T186" s="14"/>
    </x:row>
    <x:row r="187">
      <x:c r="A187" s="14"/>
      <x:c r="B187" s="14"/>
      <x:c r="C187" s="14"/>
      <x:c r="D187" s="14"/>
      <x:c r="E187" s="14"/>
      <x:c r="F187" s="14"/>
      <x:c r="G187" s="14"/>
      <x:c r="H187" s="14"/>
      <x:c r="I187" s="14"/>
      <x:c r="J187" s="14"/>
      <x:c r="K187" s="14"/>
      <x:c r="L187" s="14"/>
      <x:c r="M187" s="14"/>
      <x:c r="N187" s="14"/>
      <x:c r="O187" s="17"/>
      <x:c r="P187" s="17"/>
      <x:c r="Q187" s="17"/>
      <x:c r="R187" s="14"/>
      <x:c r="S187" s="14"/>
      <x:c r="T187" s="14"/>
    </x:row>
    <x:row r="188">
      <x:c r="A188" s="14"/>
      <x:c r="B188" s="14"/>
      <x:c r="C188" s="14"/>
      <x:c r="D188" s="14"/>
      <x:c r="E188" s="14"/>
      <x:c r="F188" s="14"/>
      <x:c r="G188" s="14"/>
      <x:c r="H188" s="14"/>
      <x:c r="I188" s="14"/>
      <x:c r="J188" s="14"/>
      <x:c r="K188" s="14"/>
      <x:c r="L188" s="14"/>
      <x:c r="M188" s="14"/>
      <x:c r="N188" s="14"/>
      <x:c r="O188" s="17"/>
      <x:c r="P188" s="17"/>
      <x:c r="Q188" s="17"/>
      <x:c r="R188" s="14"/>
      <x:c r="S188" s="14"/>
      <x:c r="T188" s="14"/>
    </x:row>
    <x:row r="189">
      <x:c r="A189" s="14"/>
      <x:c r="B189" s="14"/>
      <x:c r="C189" s="14"/>
      <x:c r="D189" s="14"/>
      <x:c r="E189" s="14"/>
      <x:c r="F189" s="14"/>
      <x:c r="G189" s="14"/>
      <x:c r="H189" s="14"/>
      <x:c r="I189" s="14"/>
      <x:c r="J189" s="14"/>
      <x:c r="K189" s="14"/>
      <x:c r="L189" s="14"/>
      <x:c r="M189" s="14"/>
      <x:c r="N189" s="14"/>
      <x:c r="O189" s="17"/>
      <x:c r="P189" s="17"/>
      <x:c r="Q189" s="17"/>
      <x:c r="R189" s="14"/>
      <x:c r="S189" s="14"/>
      <x:c r="T189" s="14"/>
    </x:row>
    <x:row r="190">
      <x:c r="A190" s="14"/>
      <x:c r="B190" s="14"/>
      <x:c r="C190" s="14"/>
      <x:c r="D190" s="14"/>
      <x:c r="E190" s="14"/>
      <x:c r="F190" s="14"/>
      <x:c r="G190" s="14"/>
      <x:c r="H190" s="14"/>
      <x:c r="I190" s="14"/>
      <x:c r="J190" s="14"/>
      <x:c r="K190" s="14"/>
      <x:c r="L190" s="14"/>
      <x:c r="M190" s="14"/>
      <x:c r="N190" s="14"/>
      <x:c r="O190" s="17"/>
      <x:c r="P190" s="17"/>
      <x:c r="Q190" s="17"/>
      <x:c r="R190" s="14"/>
      <x:c r="S190" s="14"/>
      <x:c r="T190" s="14"/>
    </x:row>
    <x:row r="191">
      <x:c r="A191" s="14"/>
      <x:c r="B191" s="14"/>
      <x:c r="C191" s="14"/>
      <x:c r="D191" s="14"/>
      <x:c r="E191" s="14"/>
      <x:c r="F191" s="14"/>
      <x:c r="G191" s="14"/>
      <x:c r="H191" s="14"/>
      <x:c r="I191" s="14"/>
      <x:c r="J191" s="14"/>
      <x:c r="K191" s="14"/>
      <x:c r="L191" s="14"/>
      <x:c r="M191" s="14"/>
      <x:c r="N191" s="14"/>
      <x:c r="O191" s="17"/>
      <x:c r="P191" s="17"/>
      <x:c r="Q191" s="17"/>
      <x:c r="R191" s="14"/>
      <x:c r="S191" s="14"/>
      <x:c r="T191" s="14"/>
    </x:row>
    <x:row r="192">
      <x:c r="A192" s="14"/>
      <x:c r="B192" s="14"/>
      <x:c r="C192" s="14"/>
      <x:c r="D192" s="14"/>
      <x:c r="E192" s="14"/>
      <x:c r="F192" s="14"/>
      <x:c r="G192" s="14"/>
      <x:c r="H192" s="14"/>
      <x:c r="I192" s="14"/>
      <x:c r="J192" s="14"/>
      <x:c r="K192" s="14"/>
      <x:c r="L192" s="14"/>
      <x:c r="M192" s="14"/>
      <x:c r="N192" s="14"/>
      <x:c r="O192" s="17"/>
      <x:c r="P192" s="17"/>
      <x:c r="Q192" s="17"/>
      <x:c r="R192" s="14"/>
      <x:c r="S192" s="14"/>
      <x:c r="T192" s="14"/>
    </x:row>
    <x:row r="193">
      <x:c r="A193" s="14"/>
      <x:c r="B193" s="14"/>
      <x:c r="C193" s="14"/>
      <x:c r="D193" s="14"/>
      <x:c r="E193" s="14"/>
      <x:c r="F193" s="14"/>
      <x:c r="G193" s="14"/>
      <x:c r="H193" s="14"/>
      <x:c r="I193" s="14"/>
      <x:c r="J193" s="14"/>
      <x:c r="K193" s="14"/>
      <x:c r="L193" s="14"/>
      <x:c r="M193" s="14"/>
      <x:c r="N193" s="14"/>
      <x:c r="O193" s="17"/>
      <x:c r="P193" s="17"/>
      <x:c r="Q193" s="17"/>
      <x:c r="R193" s="14"/>
      <x:c r="S193" s="14"/>
      <x:c r="T193" s="14"/>
    </x:row>
    <x:row r="194">
      <x:c r="A194" s="14"/>
      <x:c r="B194" s="14"/>
      <x:c r="C194" s="14"/>
      <x:c r="D194" s="14"/>
      <x:c r="E194" s="14"/>
      <x:c r="F194" s="14"/>
      <x:c r="G194" s="14"/>
      <x:c r="H194" s="14"/>
      <x:c r="I194" s="14"/>
      <x:c r="J194" s="14"/>
      <x:c r="K194" s="14"/>
      <x:c r="L194" s="14"/>
      <x:c r="M194" s="14"/>
      <x:c r="N194" s="14"/>
      <x:c r="O194" s="17"/>
      <x:c r="P194" s="17"/>
      <x:c r="Q194" s="17"/>
      <x:c r="R194" s="14"/>
      <x:c r="S194" s="14"/>
      <x:c r="T194" s="14"/>
    </x:row>
    <x:row r="195">
      <x:c r="A195" s="14"/>
      <x:c r="B195" s="14"/>
      <x:c r="C195" s="14"/>
      <x:c r="D195" s="14"/>
      <x:c r="E195" s="14"/>
      <x:c r="F195" s="14"/>
      <x:c r="G195" s="14"/>
      <x:c r="H195" s="14"/>
      <x:c r="I195" s="14"/>
      <x:c r="J195" s="14"/>
      <x:c r="K195" s="14"/>
      <x:c r="L195" s="14"/>
      <x:c r="M195" s="14"/>
      <x:c r="N195" s="14"/>
      <x:c r="O195" s="17"/>
      <x:c r="P195" s="17"/>
      <x:c r="Q195" s="17"/>
      <x:c r="R195" s="14"/>
      <x:c r="S195" s="14"/>
      <x:c r="T195" s="14"/>
    </x:row>
    <x:row r="196">
      <x:c r="A196" s="14"/>
      <x:c r="B196" s="14"/>
      <x:c r="C196" s="14"/>
      <x:c r="D196" s="14"/>
      <x:c r="E196" s="14"/>
      <x:c r="F196" s="14"/>
      <x:c r="G196" s="14"/>
      <x:c r="H196" s="14"/>
      <x:c r="I196" s="14"/>
      <x:c r="J196" s="14"/>
      <x:c r="K196" s="14"/>
      <x:c r="L196" s="14"/>
      <x:c r="M196" s="14"/>
      <x:c r="N196" s="14"/>
      <x:c r="O196" s="17"/>
      <x:c r="P196" s="17"/>
      <x:c r="Q196" s="17"/>
      <x:c r="R196" s="14"/>
      <x:c r="S196" s="14"/>
      <x:c r="T196" s="14"/>
    </x:row>
    <x:row r="197">
      <x:c r="A197" s="14"/>
      <x:c r="B197" s="14"/>
      <x:c r="C197" s="14"/>
      <x:c r="D197" s="14"/>
      <x:c r="E197" s="14"/>
      <x:c r="F197" s="14"/>
      <x:c r="G197" s="14"/>
      <x:c r="H197" s="14"/>
      <x:c r="I197" s="14"/>
      <x:c r="J197" s="14"/>
      <x:c r="K197" s="14"/>
      <x:c r="L197" s="14"/>
      <x:c r="M197" s="14"/>
      <x:c r="N197" s="14"/>
      <x:c r="O197" s="17"/>
      <x:c r="P197" s="17"/>
      <x:c r="Q197" s="17"/>
      <x:c r="R197" s="14"/>
      <x:c r="S197" s="14"/>
      <x:c r="T197" s="14"/>
    </x:row>
    <x:row r="198">
      <x:c r="A198" s="14"/>
      <x:c r="B198" s="14"/>
      <x:c r="C198" s="14"/>
      <x:c r="D198" s="14"/>
      <x:c r="E198" s="14"/>
      <x:c r="F198" s="14"/>
      <x:c r="G198" s="14"/>
      <x:c r="H198" s="14"/>
      <x:c r="I198" s="14"/>
      <x:c r="J198" s="14"/>
      <x:c r="K198" s="14"/>
      <x:c r="L198" s="14"/>
      <x:c r="M198" s="14"/>
      <x:c r="N198" s="14"/>
      <x:c r="O198" s="17"/>
      <x:c r="P198" s="17"/>
      <x:c r="Q198" s="17"/>
      <x:c r="R198" s="14"/>
      <x:c r="S198" s="14"/>
      <x:c r="T198" s="14"/>
    </x:row>
    <x:row r="199">
      <x:c r="A199" s="14"/>
      <x:c r="B199" s="14"/>
      <x:c r="C199" s="14"/>
      <x:c r="D199" s="14"/>
      <x:c r="E199" s="14"/>
      <x:c r="F199" s="14"/>
      <x:c r="G199" s="14"/>
      <x:c r="H199" s="14"/>
      <x:c r="I199" s="14"/>
      <x:c r="J199" s="14"/>
      <x:c r="K199" s="14"/>
      <x:c r="L199" s="14"/>
      <x:c r="M199" s="14"/>
      <x:c r="N199" s="14"/>
      <x:c r="O199" s="17"/>
      <x:c r="P199" s="17"/>
      <x:c r="Q199" s="17"/>
      <x:c r="R199" s="14"/>
      <x:c r="S199" s="14"/>
      <x:c r="T199" s="14"/>
    </x:row>
    <x:row r="200">
      <x:c r="A200" s="14"/>
      <x:c r="B200" s="14"/>
      <x:c r="C200" s="14"/>
      <x:c r="D200" s="14"/>
      <x:c r="E200" s="14"/>
      <x:c r="F200" s="14"/>
      <x:c r="G200" s="14"/>
      <x:c r="H200" s="14"/>
      <x:c r="I200" s="14"/>
      <x:c r="J200" s="14"/>
      <x:c r="K200" s="14"/>
      <x:c r="L200" s="14"/>
      <x:c r="M200" s="14"/>
      <x:c r="N200" s="14"/>
      <x:c r="O200" s="17"/>
      <x:c r="P200" s="17"/>
      <x:c r="Q200" s="17"/>
      <x:c r="R200" s="14"/>
      <x:c r="S200" s="14"/>
      <x:c r="T200" s="14"/>
    </x:row>
    <x:row r="201">
      <x:c r="A201" s="14"/>
      <x:c r="B201" s="14"/>
      <x:c r="C201" s="14"/>
      <x:c r="D201" s="14"/>
      <x:c r="E201" s="14"/>
      <x:c r="F201" s="14"/>
      <x:c r="G201" s="14"/>
      <x:c r="H201" s="14"/>
      <x:c r="I201" s="14"/>
      <x:c r="J201" s="14"/>
      <x:c r="K201" s="14"/>
      <x:c r="L201" s="14"/>
      <x:c r="M201" s="14"/>
      <x:c r="N201" s="14"/>
      <x:c r="O201" s="17"/>
      <x:c r="P201" s="17"/>
      <x:c r="Q201" s="17"/>
      <x:c r="R201" s="14"/>
      <x:c r="S201" s="14"/>
      <x:c r="T201" s="14"/>
    </x:row>
  </x:sheetData>
  <x:conditionalFormatting sqref="G2:G201">
    <x:cfRule type="expression" dxfId="8" priority="1">
      <x:formula>G2="Closed"</x:formula>
    </x:cfRule>
    <x:cfRule type="expression" dxfId="9" priority="2">
      <x:formula>G2="New"</x:formula>
    </x:cfRule>
    <x:cfRule type="expression" dxfId="10" priority="3">
      <x:formula>G2="In Progress"</x:formula>
    </x:cfRule>
    <x:cfRule type="expression" dxfId="11" priority="4">
      <x:formula>G2="Ready for Retest"</x:formula>
    </x:cfRule>
  </x:conditionalFormatting>
  <x:conditionalFormatting sqref="E2:E201">
    <x:cfRule type="expression" dxfId="12" priority="5">
      <x:formula>E2="Critical"</x:formula>
    </x:cfRule>
  </x:conditionalFormatting>
  <x:dataValidations count="5">
    <x:dataValidation type="list" sqref="E2:E201">
      <x:formula1>"Critical,High,Medium,Low"</x:formula1>
    </x:dataValidation>
    <x:dataValidation type="list" sqref="F2:F201">
      <x:formula1>"P0,P1,P2,P3"</x:formula1>
    </x:dataValidation>
    <x:dataValidation type="list" sqref="G2:G201">
      <x:formula1>"New,Triaged,In Progress,Ready for Retest,Closed,Won't Fix,Duplicate"</x:formula1>
    </x:dataValidation>
    <x:dataValidation type="list" sqref="H2:H201">
      <x:formula1>"Local,Development,Staging,Production"</x:formula1>
    </x:dataValidation>
    <x:dataValidation type="list" sqref="R2:R201">
      <x:formula1>"Not Retested,Passed,Failed"</x:formula1>
    </x:dataValidation>
  </x:dataValidations>
  <x:pageMargins left="0.7" right="0.7" top="0.75" bottom="0.75" header="0.3" footer="0.3"/>
  <x:tableParts count="1">
    <x:tablePart xmlns:r="http://schemas.openxmlformats.org/officeDocument/2006/relationships" r:id="R61d070bd4ac84670"/>
  </x:tableParts>
</x:worksheet>
</file>

<file path=xl/worksheets/sheet6.xml><?xml version="1.0" encoding="utf-8"?>
<worksheet xmlns="http://schemas.openxmlformats.org/spreadsheetml/2006/main" xmlns:r="http://schemas.openxmlformats.org/officeDocument/2006/relationships">
  <sheetFormatPr defaultRowHeight="15"/>
  <cols>
    <col min="1" max="1" width="30" hidden="0" customWidth="1"/>
    <col min="2" max="2" width="13" hidden="0" customWidth="1"/>
    <col min="3" max="3" width="13" hidden="0" customWidth="1"/>
    <col min="4" max="4" width="13" hidden="0" customWidth="1"/>
    <col min="5" max="5" width="13" hidden="0" customWidth="1"/>
    <col min="6" max="6" width="13" hidden="0" customWidth="1"/>
    <col min="7" max="7" width="13" hidden="0" customWidth="1"/>
    <col min="8" max="8" width="13" hidden="0" customWidth="1"/>
    <col min="9" max="9" width="13" hidden="0" customWidth="1"/>
    <col min="10" max="10" width="13" hidden="0" customWidth="1"/>
    <col min="11" max="11" width="13" hidden="0" customWidth="1"/>
    <col min="12" max="12" width="13" hidden="0" customWidth="1"/>
    <col min="13" max="13" width="13" hidden="0" customWidth="1"/>
    <col min="14" max="14" width="13" hidden="0" customWidth="1"/>
    <col min="15" max="15" width="13" hidden="0" customWidth="1"/>
    <col min="16" max="16" width="13" hidden="0" customWidth="1"/>
    <col min="17" max="17" width="15" hidden="0" customWidth="1"/>
    <col min="18" max="18" width="15" hidden="0" customWidth="1"/>
  </cols>
  <sheetData>
    <row r="1" ht="34" customHeight="1">
      <c r="A1" s="6" t="inlineStr">
        <is>
          <t xml:space="preserve">Area</t>
        </is>
      </c>
      <c r="B1" s="6" t="inlineStr">
        <is>
          <t xml:space="preserve">Total Tests</t>
        </is>
      </c>
      <c r="C1" s="6" t="inlineStr">
        <is>
          <t xml:space="preserve">Critical</t>
        </is>
      </c>
      <c r="D1" s="6" t="inlineStr">
        <is>
          <t xml:space="preserve">High</t>
        </is>
      </c>
      <c r="E1" s="6" t="inlineStr">
        <is>
          <t xml:space="preserve">Medium</t>
        </is>
      </c>
      <c r="F1" s="6" t="inlineStr">
        <is>
          <t xml:space="preserve">Low</t>
        </is>
      </c>
      <c r="G1" s="6" t="inlineStr">
        <is>
          <t xml:space="preserve">Security</t>
        </is>
      </c>
      <c r="H1" s="6" t="inlineStr">
        <is>
          <t xml:space="preserve">Integration</t>
        </is>
      </c>
      <c r="I1" s="6" t="inlineStr">
        <is>
          <t xml:space="preserve">Accessibility</t>
        </is>
      </c>
      <c r="J1" s="6" t="inlineStr">
        <is>
          <t xml:space="preserve">Performance/Recovery</t>
        </is>
      </c>
      <c r="K1" s="6" t="inlineStr">
        <is>
          <t xml:space="preserve">Automation Candidates</t>
        </is>
      </c>
      <c r="L1" s="6" t="inlineStr">
        <is>
          <t xml:space="preserve">Release Gates</t>
        </is>
      </c>
      <c r="M1" s="6" t="inlineStr">
        <is>
          <t xml:space="preserve">Passed</t>
        </is>
      </c>
      <c r="N1" s="6" t="inlineStr">
        <is>
          <t xml:space="preserve">Failed</t>
        </is>
      </c>
      <c r="O1" s="6" t="inlineStr">
        <is>
          <t xml:space="preserve">Blocked</t>
        </is>
      </c>
      <c r="P1" s="6" t="inlineStr">
        <is>
          <t xml:space="preserve">Not Run</t>
        </is>
      </c>
      <c r="Q1" s="6" t="inlineStr">
        <is>
          <t xml:space="preserve">Pass Rate</t>
        </is>
      </c>
      <c r="R1" s="6" t="inlineStr">
        <is>
          <t xml:space="preserve">Gate Readiness</t>
        </is>
      </c>
    </row>
    <row r="2">
      <c r="A2" s="14" t="inlineStr">
        <is>
          <t xml:space="preserve">Authentication &amp; Accounts</t>
        </is>
      </c>
      <c r="B2" s="14">
        <f>COUNTIF('Test Library'!$B:$B,$A2)</f>
        <v>18</v>
      </c>
      <c r="C2" s="14">
        <f>COUNTIFS('Test Library'!$B:$B,$A2,'Test Library'!$F:$F,"Critical")</f>
        <v>6</v>
      </c>
      <c r="D2" s="14">
        <f>COUNTIFS('Test Library'!$B:$B,$A2,'Test Library'!$F:$F,"High")</f>
        <v>11</v>
      </c>
      <c r="E2" s="14">
        <f>COUNTIFS('Test Library'!$B:$B,$A2,'Test Library'!$F:$F,"Medium")</f>
        <v>1</v>
      </c>
      <c r="F2" s="14">
        <f>COUNTIFS('Test Library'!$B:$B,$A2,'Test Library'!$F:$F,"Low")</f>
        <v>0</v>
      </c>
      <c r="G2" s="14">
        <f>COUNTIFS('Test Library'!$B:$B,$A2,'Test Library'!$D:$D,"Security")</f>
        <v>6</v>
      </c>
      <c r="H2" s="14">
        <f>COUNTIFS('Test Library'!$B:$B,$A2,'Test Library'!$D:$D,"Integration")</f>
        <v>0</v>
      </c>
      <c r="I2" s="14">
        <f>COUNTIFS('Test Library'!$B:$B,$A2,'Test Library'!$D:$D,"Accessibility")</f>
        <v>0</v>
      </c>
      <c r="J2" s="14">
        <f>SUM(COUNTIFS('Test Library'!$B:$B,$A2,'Test Library'!$D:$D,{"Performance","Recovery","Reliability","Concurrency"}))</f>
        <v>1</v>
      </c>
      <c r="K2" s="14">
        <f>COUNTIFS('Test Library'!$B:$B,$A2,'Test Library'!$M:$M,"&lt;&gt;Manual")</f>
        <v>18</v>
      </c>
      <c r="L2" s="14">
        <f>COUNTIFS('Test Library'!$B:$B,$A2,'Test Library'!$N:$N,"Yes")</f>
        <v>17</v>
      </c>
      <c r="M2" s="14">
        <f>COUNTIFS('Test Execution'!$D:$D,$A2,'Test Execution'!$I:$I,"Passed")</f>
        <v>0</v>
      </c>
      <c r="N2" s="14">
        <f>COUNTIFS('Test Execution'!$D:$D,$A2,'Test Execution'!$I:$I,"Failed")</f>
        <v>0</v>
      </c>
      <c r="O2" s="14">
        <f>COUNTIFS('Test Execution'!$D:$D,$A2,'Test Execution'!$I:$I,"Blocked")</f>
        <v>0</v>
      </c>
      <c r="P2" s="14">
        <f>COUNTIFS('Test Execution'!$D:$D,$A2,'Test Execution'!$I:$I,"Not Run")</f>
        <v>18</v>
      </c>
      <c r="Q2" s="19">
        <f>IFERROR(M2/SUM(M2:O2),0)</f>
        <v>0</v>
      </c>
      <c r="R2" s="14" t="str">
        <f>IF(COUNTIFS('Test Execution'!$D:$D,$A2,'Test Execution'!$P:$P,"Yes",'Test Execution'!$I:$I,"&lt;&gt;Passed")=0,"Ready","Not Ready")</f>
        <v>Not Ready</v>
      </c>
    </row>
    <row r="3">
      <c r="A3" s="14" t="inlineStr">
        <is>
          <t xml:space="preserve">Onboarding</t>
        </is>
      </c>
      <c r="B3" s="14">
        <f>COUNTIF('Test Library'!$B:$B,$A3)</f>
        <v>12</v>
      </c>
      <c r="C3" s="14">
        <f>COUNTIFS('Test Library'!$B:$B,$A3,'Test Library'!$F:$F,"Critical")</f>
        <v>3</v>
      </c>
      <c r="D3" s="14">
        <f>COUNTIFS('Test Library'!$B:$B,$A3,'Test Library'!$F:$F,"High")</f>
        <v>7</v>
      </c>
      <c r="E3" s="14">
        <f>COUNTIFS('Test Library'!$B:$B,$A3,'Test Library'!$F:$F,"Medium")</f>
        <v>2</v>
      </c>
      <c r="F3" s="14">
        <f>COUNTIFS('Test Library'!$B:$B,$A3,'Test Library'!$F:$F,"Low")</f>
        <v>0</v>
      </c>
      <c r="G3" s="14">
        <f>COUNTIFS('Test Library'!$B:$B,$A3,'Test Library'!$D:$D,"Security")</f>
        <v>0</v>
      </c>
      <c r="H3" s="14">
        <f>COUNTIFS('Test Library'!$B:$B,$A3,'Test Library'!$D:$D,"Integration")</f>
        <v>0</v>
      </c>
      <c r="I3" s="14">
        <f>COUNTIFS('Test Library'!$B:$B,$A3,'Test Library'!$D:$D,"Accessibility")</f>
        <v>0</v>
      </c>
      <c r="J3" s="14">
        <f>SUM(COUNTIFS('Test Library'!$B:$B,$A3,'Test Library'!$D:$D,{"Performance","Recovery","Reliability","Concurrency"}))</f>
        <v>2</v>
      </c>
      <c r="K3" s="14">
        <f>COUNTIFS('Test Library'!$B:$B,$A3,'Test Library'!$M:$M,"&lt;&gt;Manual")</f>
        <v>12</v>
      </c>
      <c r="L3" s="14">
        <f>COUNTIFS('Test Library'!$B:$B,$A3,'Test Library'!$N:$N,"Yes")</f>
        <v>10</v>
      </c>
      <c r="M3" s="14">
        <f>COUNTIFS('Test Execution'!$D:$D,$A3,'Test Execution'!$I:$I,"Passed")</f>
        <v>0</v>
      </c>
      <c r="N3" s="14">
        <f>COUNTIFS('Test Execution'!$D:$D,$A3,'Test Execution'!$I:$I,"Failed")</f>
        <v>0</v>
      </c>
      <c r="O3" s="14">
        <f>COUNTIFS('Test Execution'!$D:$D,$A3,'Test Execution'!$I:$I,"Blocked")</f>
        <v>0</v>
      </c>
      <c r="P3" s="14">
        <f>COUNTIFS('Test Execution'!$D:$D,$A3,'Test Execution'!$I:$I,"Not Run")</f>
        <v>12</v>
      </c>
      <c r="Q3" s="19">
        <f>IFERROR(M3/SUM(M3:O3),0)</f>
        <v>0</v>
      </c>
      <c r="R3" s="14" t="str">
        <f>IF(COUNTIFS('Test Execution'!$D:$D,$A3,'Test Execution'!$P:$P,"Yes",'Test Execution'!$I:$I,"&lt;&gt;Passed")=0,"Ready","Not Ready")</f>
        <v>Not Ready</v>
      </c>
    </row>
    <row r="4">
      <c r="A4" s="14" t="inlineStr">
        <is>
          <t xml:space="preserve">Organisations, Locations &amp; Zones</t>
        </is>
      </c>
      <c r="B4" s="14">
        <f>COUNTIF('Test Library'!$B:$B,$A4)</f>
        <v>18</v>
      </c>
      <c r="C4" s="14">
        <f>COUNTIFS('Test Library'!$B:$B,$A4,'Test Library'!$F:$F,"Critical")</f>
        <v>5</v>
      </c>
      <c r="D4" s="14">
        <f>COUNTIFS('Test Library'!$B:$B,$A4,'Test Library'!$F:$F,"High")</f>
        <v>6</v>
      </c>
      <c r="E4" s="14">
        <f>COUNTIFS('Test Library'!$B:$B,$A4,'Test Library'!$F:$F,"Medium")</f>
        <v>6</v>
      </c>
      <c r="F4" s="14">
        <f>COUNTIFS('Test Library'!$B:$B,$A4,'Test Library'!$F:$F,"Low")</f>
        <v>1</v>
      </c>
      <c r="G4" s="14">
        <f>COUNTIFS('Test Library'!$B:$B,$A4,'Test Library'!$D:$D,"Security")</f>
        <v>2</v>
      </c>
      <c r="H4" s="14">
        <f>COUNTIFS('Test Library'!$B:$B,$A4,'Test Library'!$D:$D,"Integration")</f>
        <v>0</v>
      </c>
      <c r="I4" s="14">
        <f>COUNTIFS('Test Library'!$B:$B,$A4,'Test Library'!$D:$D,"Accessibility")</f>
        <v>0</v>
      </c>
      <c r="J4" s="14">
        <f>SUM(COUNTIFS('Test Library'!$B:$B,$A4,'Test Library'!$D:$D,{"Performance","Recovery","Reliability","Concurrency"}))</f>
        <v>0</v>
      </c>
      <c r="K4" s="14">
        <f>COUNTIFS('Test Library'!$B:$B,$A4,'Test Library'!$M:$M,"&lt;&gt;Manual")</f>
        <v>18</v>
      </c>
      <c r="L4" s="14">
        <f>COUNTIFS('Test Library'!$B:$B,$A4,'Test Library'!$N:$N,"Yes")</f>
        <v>11</v>
      </c>
      <c r="M4" s="14">
        <f>COUNTIFS('Test Execution'!$D:$D,$A4,'Test Execution'!$I:$I,"Passed")</f>
        <v>0</v>
      </c>
      <c r="N4" s="14">
        <f>COUNTIFS('Test Execution'!$D:$D,$A4,'Test Execution'!$I:$I,"Failed")</f>
        <v>0</v>
      </c>
      <c r="O4" s="14">
        <f>COUNTIFS('Test Execution'!$D:$D,$A4,'Test Execution'!$I:$I,"Blocked")</f>
        <v>0</v>
      </c>
      <c r="P4" s="14">
        <f>COUNTIFS('Test Execution'!$D:$D,$A4,'Test Execution'!$I:$I,"Not Run")</f>
        <v>18</v>
      </c>
      <c r="Q4" s="19">
        <f>IFERROR(M4/SUM(M4:O4),0)</f>
        <v>0</v>
      </c>
      <c r="R4" s="14" t="str">
        <f>IF(COUNTIFS('Test Execution'!$D:$D,$A4,'Test Execution'!$P:$P,"Yes",'Test Execution'!$I:$I,"&lt;&gt;Passed")=0,"Ready","Not Ready")</f>
        <v>Not Ready</v>
      </c>
    </row>
    <row r="5">
      <c r="A5" s="14" t="inlineStr">
        <is>
          <t xml:space="preserve">Employees &amp; Invitations</t>
        </is>
      </c>
      <c r="B5" s="14">
        <f>COUNTIF('Test Library'!$B:$B,$A5)</f>
        <v>24</v>
      </c>
      <c r="C5" s="14">
        <f>COUNTIFS('Test Library'!$B:$B,$A5,'Test Library'!$F:$F,"Critical")</f>
        <v>12</v>
      </c>
      <c r="D5" s="14">
        <f>COUNTIFS('Test Library'!$B:$B,$A5,'Test Library'!$F:$F,"High")</f>
        <v>10</v>
      </c>
      <c r="E5" s="14">
        <f>COUNTIFS('Test Library'!$B:$B,$A5,'Test Library'!$F:$F,"Medium")</f>
        <v>2</v>
      </c>
      <c r="F5" s="14">
        <f>COUNTIFS('Test Library'!$B:$B,$A5,'Test Library'!$F:$F,"Low")</f>
        <v>0</v>
      </c>
      <c r="G5" s="14">
        <f>COUNTIFS('Test Library'!$B:$B,$A5,'Test Library'!$D:$D,"Security")</f>
        <v>2</v>
      </c>
      <c r="H5" s="14">
        <f>COUNTIFS('Test Library'!$B:$B,$A5,'Test Library'!$D:$D,"Integration")</f>
        <v>1</v>
      </c>
      <c r="I5" s="14">
        <f>COUNTIFS('Test Library'!$B:$B,$A5,'Test Library'!$D:$D,"Accessibility")</f>
        <v>0</v>
      </c>
      <c r="J5" s="14">
        <f>SUM(COUNTIFS('Test Library'!$B:$B,$A5,'Test Library'!$D:$D,{"Performance","Recovery","Reliability","Concurrency"}))</f>
        <v>1</v>
      </c>
      <c r="K5" s="14">
        <f>COUNTIFS('Test Library'!$B:$B,$A5,'Test Library'!$M:$M,"&lt;&gt;Manual")</f>
        <v>24</v>
      </c>
      <c r="L5" s="14">
        <f>COUNTIFS('Test Library'!$B:$B,$A5,'Test Library'!$N:$N,"Yes")</f>
        <v>22</v>
      </c>
      <c r="M5" s="14">
        <f>COUNTIFS('Test Execution'!$D:$D,$A5,'Test Execution'!$I:$I,"Passed")</f>
        <v>0</v>
      </c>
      <c r="N5" s="14">
        <f>COUNTIFS('Test Execution'!$D:$D,$A5,'Test Execution'!$I:$I,"Failed")</f>
        <v>0</v>
      </c>
      <c r="O5" s="14">
        <f>COUNTIFS('Test Execution'!$D:$D,$A5,'Test Execution'!$I:$I,"Blocked")</f>
        <v>0</v>
      </c>
      <c r="P5" s="14">
        <f>COUNTIFS('Test Execution'!$D:$D,$A5,'Test Execution'!$I:$I,"Not Run")</f>
        <v>24</v>
      </c>
      <c r="Q5" s="19">
        <f>IFERROR(M5/SUM(M5:O5),0)</f>
        <v>0</v>
      </c>
      <c r="R5" s="14" t="str">
        <f>IF(COUNTIFS('Test Execution'!$D:$D,$A5,'Test Execution'!$P:$P,"Yes",'Test Execution'!$I:$I,"&lt;&gt;Passed")=0,"Ready","Not Ready")</f>
        <v>Not Ready</v>
      </c>
    </row>
    <row r="6">
      <c r="A6" s="14" t="inlineStr">
        <is>
          <t xml:space="preserve">Roles &amp; Permissions</t>
        </is>
      </c>
      <c r="B6" s="14">
        <f>COUNTIF('Test Library'!$B:$B,$A6)</f>
        <v>16</v>
      </c>
      <c r="C6" s="14">
        <f>COUNTIFS('Test Library'!$B:$B,$A6,'Test Library'!$F:$F,"Critical")</f>
        <v>13</v>
      </c>
      <c r="D6" s="14">
        <f>COUNTIFS('Test Library'!$B:$B,$A6,'Test Library'!$F:$F,"High")</f>
        <v>3</v>
      </c>
      <c r="E6" s="14">
        <f>COUNTIFS('Test Library'!$B:$B,$A6,'Test Library'!$F:$F,"Medium")</f>
        <v>0</v>
      </c>
      <c r="F6" s="14">
        <f>COUNTIFS('Test Library'!$B:$B,$A6,'Test Library'!$F:$F,"Low")</f>
        <v>0</v>
      </c>
      <c r="G6" s="14">
        <f>COUNTIFS('Test Library'!$B:$B,$A6,'Test Library'!$D:$D,"Security")</f>
        <v>13</v>
      </c>
      <c r="H6" s="14">
        <f>COUNTIFS('Test Library'!$B:$B,$A6,'Test Library'!$D:$D,"Integration")</f>
        <v>0</v>
      </c>
      <c r="I6" s="14">
        <f>COUNTIFS('Test Library'!$B:$B,$A6,'Test Library'!$D:$D,"Accessibility")</f>
        <v>0</v>
      </c>
      <c r="J6" s="14">
        <f>SUM(COUNTIFS('Test Library'!$B:$B,$A6,'Test Library'!$D:$D,{"Performance","Recovery","Reliability","Concurrency"}))</f>
        <v>0</v>
      </c>
      <c r="K6" s="14">
        <f>COUNTIFS('Test Library'!$B:$B,$A6,'Test Library'!$M:$M,"&lt;&gt;Manual")</f>
        <v>16</v>
      </c>
      <c r="L6" s="14">
        <f>COUNTIFS('Test Library'!$B:$B,$A6,'Test Library'!$N:$N,"Yes")</f>
        <v>16</v>
      </c>
      <c r="M6" s="14">
        <f>COUNTIFS('Test Execution'!$D:$D,$A6,'Test Execution'!$I:$I,"Passed")</f>
        <v>0</v>
      </c>
      <c r="N6" s="14">
        <f>COUNTIFS('Test Execution'!$D:$D,$A6,'Test Execution'!$I:$I,"Failed")</f>
        <v>0</v>
      </c>
      <c r="O6" s="14">
        <f>COUNTIFS('Test Execution'!$D:$D,$A6,'Test Execution'!$I:$I,"Blocked")</f>
        <v>0</v>
      </c>
      <c r="P6" s="14">
        <f>COUNTIFS('Test Execution'!$D:$D,$A6,'Test Execution'!$I:$I,"Not Run")</f>
        <v>16</v>
      </c>
      <c r="Q6" s="19">
        <f>IFERROR(M6/SUM(M6:O6),0)</f>
        <v>0</v>
      </c>
      <c r="R6" s="14" t="str">
        <f>IF(COUNTIFS('Test Execution'!$D:$D,$A6,'Test Execution'!$P:$P,"Yes",'Test Execution'!$I:$I,"&lt;&gt;Passed")=0,"Ready","Not Ready")</f>
        <v>Not Ready</v>
      </c>
    </row>
    <row r="7">
      <c r="A7" s="14" t="inlineStr">
        <is>
          <t xml:space="preserve">Availability</t>
        </is>
      </c>
      <c r="B7" s="14">
        <f>COUNTIF('Test Library'!$B:$B,$A7)</f>
        <v>12</v>
      </c>
      <c r="C7" s="14">
        <f>COUNTIFS('Test Library'!$B:$B,$A7,'Test Library'!$F:$F,"Critical")</f>
        <v>1</v>
      </c>
      <c r="D7" s="14">
        <f>COUNTIFS('Test Library'!$B:$B,$A7,'Test Library'!$F:$F,"High")</f>
        <v>7</v>
      </c>
      <c r="E7" s="14">
        <f>COUNTIFS('Test Library'!$B:$B,$A7,'Test Library'!$F:$F,"Medium")</f>
        <v>4</v>
      </c>
      <c r="F7" s="14">
        <f>COUNTIFS('Test Library'!$B:$B,$A7,'Test Library'!$F:$F,"Low")</f>
        <v>0</v>
      </c>
      <c r="G7" s="14">
        <f>COUNTIFS('Test Library'!$B:$B,$A7,'Test Library'!$D:$D,"Security")</f>
        <v>0</v>
      </c>
      <c r="H7" s="14">
        <f>COUNTIFS('Test Library'!$B:$B,$A7,'Test Library'!$D:$D,"Integration")</f>
        <v>0</v>
      </c>
      <c r="I7" s="14">
        <f>COUNTIFS('Test Library'!$B:$B,$A7,'Test Library'!$D:$D,"Accessibility")</f>
        <v>0</v>
      </c>
      <c r="J7" s="14">
        <f>SUM(COUNTIFS('Test Library'!$B:$B,$A7,'Test Library'!$D:$D,{"Performance","Recovery","Reliability","Concurrency"}))</f>
        <v>0</v>
      </c>
      <c r="K7" s="14">
        <f>COUNTIFS('Test Library'!$B:$B,$A7,'Test Library'!$M:$M,"&lt;&gt;Manual")</f>
        <v>12</v>
      </c>
      <c r="L7" s="14">
        <f>COUNTIFS('Test Library'!$B:$B,$A7,'Test Library'!$N:$N,"Yes")</f>
        <v>8</v>
      </c>
      <c r="M7" s="14">
        <f>COUNTIFS('Test Execution'!$D:$D,$A7,'Test Execution'!$I:$I,"Passed")</f>
        <v>0</v>
      </c>
      <c r="N7" s="14">
        <f>COUNTIFS('Test Execution'!$D:$D,$A7,'Test Execution'!$I:$I,"Failed")</f>
        <v>0</v>
      </c>
      <c r="O7" s="14">
        <f>COUNTIFS('Test Execution'!$D:$D,$A7,'Test Execution'!$I:$I,"Blocked")</f>
        <v>0</v>
      </c>
      <c r="P7" s="14">
        <f>COUNTIFS('Test Execution'!$D:$D,$A7,'Test Execution'!$I:$I,"Not Run")</f>
        <v>12</v>
      </c>
      <c r="Q7" s="19">
        <f>IFERROR(M7/SUM(M7:O7),0)</f>
        <v>0</v>
      </c>
      <c r="R7" s="14" t="str">
        <f>IF(COUNTIFS('Test Execution'!$D:$D,$A7,'Test Execution'!$P:$P,"Yes",'Test Execution'!$I:$I,"&lt;&gt;Passed")=0,"Ready","Not Ready")</f>
        <v>Not Ready</v>
      </c>
    </row>
    <row r="8">
      <c r="A8" s="14" t="inlineStr">
        <is>
          <t xml:space="preserve">Rota Builder</t>
        </is>
      </c>
      <c r="B8" s="14">
        <f>COUNTIF('Test Library'!$B:$B,$A8)</f>
        <v>46</v>
      </c>
      <c r="C8" s="14">
        <f>COUNTIFS('Test Library'!$B:$B,$A8,'Test Library'!$F:$F,"Critical")</f>
        <v>21</v>
      </c>
      <c r="D8" s="14">
        <f>COUNTIFS('Test Library'!$B:$B,$A8,'Test Library'!$F:$F,"High")</f>
        <v>20</v>
      </c>
      <c r="E8" s="14">
        <f>COUNTIFS('Test Library'!$B:$B,$A8,'Test Library'!$F:$F,"Medium")</f>
        <v>3</v>
      </c>
      <c r="F8" s="14">
        <f>COUNTIFS('Test Library'!$B:$B,$A8,'Test Library'!$F:$F,"Low")</f>
        <v>2</v>
      </c>
      <c r="G8" s="14">
        <f>COUNTIFS('Test Library'!$B:$B,$A8,'Test Library'!$D:$D,"Security")</f>
        <v>1</v>
      </c>
      <c r="H8" s="14">
        <f>COUNTIFS('Test Library'!$B:$B,$A8,'Test Library'!$D:$D,"Integration")</f>
        <v>0</v>
      </c>
      <c r="I8" s="14">
        <f>COUNTIFS('Test Library'!$B:$B,$A8,'Test Library'!$D:$D,"Accessibility")</f>
        <v>1</v>
      </c>
      <c r="J8" s="14">
        <f>SUM(COUNTIFS('Test Library'!$B:$B,$A8,'Test Library'!$D:$D,{"Performance","Recovery","Reliability","Concurrency"}))</f>
        <v>5</v>
      </c>
      <c r="K8" s="14">
        <f>COUNTIFS('Test Library'!$B:$B,$A8,'Test Library'!$M:$M,"&lt;&gt;Manual")</f>
        <v>46</v>
      </c>
      <c r="L8" s="14">
        <f>COUNTIFS('Test Library'!$B:$B,$A8,'Test Library'!$N:$N,"Yes")</f>
        <v>41</v>
      </c>
      <c r="M8" s="14">
        <f>COUNTIFS('Test Execution'!$D:$D,$A8,'Test Execution'!$I:$I,"Passed")</f>
        <v>0</v>
      </c>
      <c r="N8" s="14">
        <f>COUNTIFS('Test Execution'!$D:$D,$A8,'Test Execution'!$I:$I,"Failed")</f>
        <v>0</v>
      </c>
      <c r="O8" s="14">
        <f>COUNTIFS('Test Execution'!$D:$D,$A8,'Test Execution'!$I:$I,"Blocked")</f>
        <v>0</v>
      </c>
      <c r="P8" s="14">
        <f>COUNTIFS('Test Execution'!$D:$D,$A8,'Test Execution'!$I:$I,"Not Run")</f>
        <v>46</v>
      </c>
      <c r="Q8" s="19">
        <f>IFERROR(M8/SUM(M8:O8),0)</f>
        <v>0</v>
      </c>
      <c r="R8" s="14" t="str">
        <f>IF(COUNTIFS('Test Execution'!$D:$D,$A8,'Test Execution'!$P:$P,"Yes",'Test Execution'!$I:$I,"&lt;&gt;Passed")=0,"Ready","Not Ready")</f>
        <v>Not Ready</v>
      </c>
    </row>
    <row r="9">
      <c r="A9" s="14" t="inlineStr">
        <is>
          <t xml:space="preserve">Publishing &amp; Notifications</t>
        </is>
      </c>
      <c r="B9" s="14">
        <f>COUNTIF('Test Library'!$B:$B,$A9)</f>
        <v>23</v>
      </c>
      <c r="C9" s="14">
        <f>COUNTIFS('Test Library'!$B:$B,$A9,'Test Library'!$F:$F,"Critical")</f>
        <v>9</v>
      </c>
      <c r="D9" s="14">
        <f>COUNTIFS('Test Library'!$B:$B,$A9,'Test Library'!$F:$F,"High")</f>
        <v>14</v>
      </c>
      <c r="E9" s="14">
        <f>COUNTIFS('Test Library'!$B:$B,$A9,'Test Library'!$F:$F,"Medium")</f>
        <v>0</v>
      </c>
      <c r="F9" s="14">
        <f>COUNTIFS('Test Library'!$B:$B,$A9,'Test Library'!$F:$F,"Low")</f>
        <v>0</v>
      </c>
      <c r="G9" s="14">
        <f>COUNTIFS('Test Library'!$B:$B,$A9,'Test Library'!$D:$D,"Security")</f>
        <v>1</v>
      </c>
      <c r="H9" s="14">
        <f>COUNTIFS('Test Library'!$B:$B,$A9,'Test Library'!$D:$D,"Integration")</f>
        <v>1</v>
      </c>
      <c r="I9" s="14">
        <f>COUNTIFS('Test Library'!$B:$B,$A9,'Test Library'!$D:$D,"Accessibility")</f>
        <v>0</v>
      </c>
      <c r="J9" s="14">
        <f>SUM(COUNTIFS('Test Library'!$B:$B,$A9,'Test Library'!$D:$D,{"Performance","Recovery","Reliability","Concurrency"}))</f>
        <v>5</v>
      </c>
      <c r="K9" s="14">
        <f>COUNTIFS('Test Library'!$B:$B,$A9,'Test Library'!$M:$M,"&lt;&gt;Manual")</f>
        <v>23</v>
      </c>
      <c r="L9" s="14">
        <f>COUNTIFS('Test Library'!$B:$B,$A9,'Test Library'!$N:$N,"Yes")</f>
        <v>23</v>
      </c>
      <c r="M9" s="14">
        <f>COUNTIFS('Test Execution'!$D:$D,$A9,'Test Execution'!$I:$I,"Passed")</f>
        <v>0</v>
      </c>
      <c r="N9" s="14">
        <f>COUNTIFS('Test Execution'!$D:$D,$A9,'Test Execution'!$I:$I,"Failed")</f>
        <v>0</v>
      </c>
      <c r="O9" s="14">
        <f>COUNTIFS('Test Execution'!$D:$D,$A9,'Test Execution'!$I:$I,"Blocked")</f>
        <v>0</v>
      </c>
      <c r="P9" s="14">
        <f>COUNTIFS('Test Execution'!$D:$D,$A9,'Test Execution'!$I:$I,"Not Run")</f>
        <v>23</v>
      </c>
      <c r="Q9" s="19">
        <f>IFERROR(M9/SUM(M9:O9),0)</f>
        <v>0</v>
      </c>
      <c r="R9" s="14" t="str">
        <f>IF(COUNTIFS('Test Execution'!$D:$D,$A9,'Test Execution'!$P:$P,"Yes",'Test Execution'!$I:$I,"&lt;&gt;Passed")=0,"Ready","Not Ready")</f>
        <v>Not Ready</v>
      </c>
    </row>
    <row r="10">
      <c r="A10" s="14" t="inlineStr">
        <is>
          <t xml:space="preserve">Templates, Notes &amp; Export</t>
        </is>
      </c>
      <c r="B10" s="14">
        <f>COUNTIF('Test Library'!$B:$B,$A10)</f>
        <v>16</v>
      </c>
      <c r="C10" s="14">
        <f>COUNTIFS('Test Library'!$B:$B,$A10,'Test Library'!$F:$F,"Critical")</f>
        <v>5</v>
      </c>
      <c r="D10" s="14">
        <f>COUNTIFS('Test Library'!$B:$B,$A10,'Test Library'!$F:$F,"High")</f>
        <v>6</v>
      </c>
      <c r="E10" s="14">
        <f>COUNTIFS('Test Library'!$B:$B,$A10,'Test Library'!$F:$F,"Medium")</f>
        <v>5</v>
      </c>
      <c r="F10" s="14">
        <f>COUNTIFS('Test Library'!$B:$B,$A10,'Test Library'!$F:$F,"Low")</f>
        <v>0</v>
      </c>
      <c r="G10" s="14">
        <f>COUNTIFS('Test Library'!$B:$B,$A10,'Test Library'!$D:$D,"Security")</f>
        <v>2</v>
      </c>
      <c r="H10" s="14">
        <f>COUNTIFS('Test Library'!$B:$B,$A10,'Test Library'!$D:$D,"Integration")</f>
        <v>1</v>
      </c>
      <c r="I10" s="14">
        <f>COUNTIFS('Test Library'!$B:$B,$A10,'Test Library'!$D:$D,"Accessibility")</f>
        <v>1</v>
      </c>
      <c r="J10" s="14">
        <f>SUM(COUNTIFS('Test Library'!$B:$B,$A10,'Test Library'!$D:$D,{"Performance","Recovery","Reliability","Concurrency"}))</f>
        <v>0</v>
      </c>
      <c r="K10" s="14">
        <f>COUNTIFS('Test Library'!$B:$B,$A10,'Test Library'!$M:$M,"&lt;&gt;Manual")</f>
        <v>16</v>
      </c>
      <c r="L10" s="14">
        <f>COUNTIFS('Test Library'!$B:$B,$A10,'Test Library'!$N:$N,"Yes")</f>
        <v>11</v>
      </c>
      <c r="M10" s="14">
        <f>COUNTIFS('Test Execution'!$D:$D,$A10,'Test Execution'!$I:$I,"Passed")</f>
        <v>0</v>
      </c>
      <c r="N10" s="14">
        <f>COUNTIFS('Test Execution'!$D:$D,$A10,'Test Execution'!$I:$I,"Failed")</f>
        <v>0</v>
      </c>
      <c r="O10" s="14">
        <f>COUNTIFS('Test Execution'!$D:$D,$A10,'Test Execution'!$I:$I,"Blocked")</f>
        <v>0</v>
      </c>
      <c r="P10" s="14">
        <f>COUNTIFS('Test Execution'!$D:$D,$A10,'Test Execution'!$I:$I,"Not Run")</f>
        <v>16</v>
      </c>
      <c r="Q10" s="19">
        <f>IFERROR(M10/SUM(M10:O10),0)</f>
        <v>0</v>
      </c>
      <c r="R10" s="14" t="str">
        <f>IF(COUNTIFS('Test Execution'!$D:$D,$A10,'Test Execution'!$P:$P,"Yes",'Test Execution'!$I:$I,"&lt;&gt;Passed")=0,"Ready","Not Ready")</f>
        <v>Not Ready</v>
      </c>
    </row>
    <row r="11">
      <c r="A11" s="14" t="inlineStr">
        <is>
          <t xml:space="preserve">Employee Dashboard</t>
        </is>
      </c>
      <c r="B11" s="14">
        <f>COUNTIF('Test Library'!$B:$B,$A11)</f>
        <v>13</v>
      </c>
      <c r="C11" s="14">
        <f>COUNTIFS('Test Library'!$B:$B,$A11,'Test Library'!$F:$F,"Critical")</f>
        <v>4</v>
      </c>
      <c r="D11" s="14">
        <f>COUNTIFS('Test Library'!$B:$B,$A11,'Test Library'!$F:$F,"High")</f>
        <v>7</v>
      </c>
      <c r="E11" s="14">
        <f>COUNTIFS('Test Library'!$B:$B,$A11,'Test Library'!$F:$F,"Medium")</f>
        <v>2</v>
      </c>
      <c r="F11" s="14">
        <f>COUNTIFS('Test Library'!$B:$B,$A11,'Test Library'!$F:$F,"Low")</f>
        <v>0</v>
      </c>
      <c r="G11" s="14">
        <f>COUNTIFS('Test Library'!$B:$B,$A11,'Test Library'!$D:$D,"Security")</f>
        <v>2</v>
      </c>
      <c r="H11" s="14">
        <f>COUNTIFS('Test Library'!$B:$B,$A11,'Test Library'!$D:$D,"Integration")</f>
        <v>0</v>
      </c>
      <c r="I11" s="14">
        <f>COUNTIFS('Test Library'!$B:$B,$A11,'Test Library'!$D:$D,"Accessibility")</f>
        <v>1</v>
      </c>
      <c r="J11" s="14">
        <f>SUM(COUNTIFS('Test Library'!$B:$B,$A11,'Test Library'!$D:$D,{"Performance","Recovery","Reliability","Concurrency"}))</f>
        <v>1</v>
      </c>
      <c r="K11" s="14">
        <f>COUNTIFS('Test Library'!$B:$B,$A11,'Test Library'!$M:$M,"&lt;&gt;Manual")</f>
        <v>13</v>
      </c>
      <c r="L11" s="14">
        <f>COUNTIFS('Test Library'!$B:$B,$A11,'Test Library'!$N:$N,"Yes")</f>
        <v>11</v>
      </c>
      <c r="M11" s="14">
        <f>COUNTIFS('Test Execution'!$D:$D,$A11,'Test Execution'!$I:$I,"Passed")</f>
        <v>0</v>
      </c>
      <c r="N11" s="14">
        <f>COUNTIFS('Test Execution'!$D:$D,$A11,'Test Execution'!$I:$I,"Failed")</f>
        <v>0</v>
      </c>
      <c r="O11" s="14">
        <f>COUNTIFS('Test Execution'!$D:$D,$A11,'Test Execution'!$I:$I,"Blocked")</f>
        <v>0</v>
      </c>
      <c r="P11" s="14">
        <f>COUNTIFS('Test Execution'!$D:$D,$A11,'Test Execution'!$I:$I,"Not Run")</f>
        <v>13</v>
      </c>
      <c r="Q11" s="19">
        <f>IFERROR(M11/SUM(M11:O11),0)</f>
        <v>0</v>
      </c>
      <c r="R11" s="14" t="str">
        <f>IF(COUNTIFS('Test Execution'!$D:$D,$A11,'Test Execution'!$P:$P,"Yes",'Test Execution'!$I:$I,"&lt;&gt;Passed")=0,"Ready","Not Ready")</f>
        <v>Not Ready</v>
      </c>
    </row>
    <row r="12">
      <c r="A12" s="14" t="inlineStr">
        <is>
          <t xml:space="preserve">T&amp;A Activation &amp; Stations</t>
        </is>
      </c>
      <c r="B12" s="14">
        <f>COUNTIF('Test Library'!$B:$B,$A12)</f>
        <v>16</v>
      </c>
      <c r="C12" s="14">
        <f>COUNTIFS('Test Library'!$B:$B,$A12,'Test Library'!$F:$F,"Critical")</f>
        <v>12</v>
      </c>
      <c r="D12" s="14">
        <f>COUNTIFS('Test Library'!$B:$B,$A12,'Test Library'!$F:$F,"High")</f>
        <v>4</v>
      </c>
      <c r="E12" s="14">
        <f>COUNTIFS('Test Library'!$B:$B,$A12,'Test Library'!$F:$F,"Medium")</f>
        <v>0</v>
      </c>
      <c r="F12" s="14">
        <f>COUNTIFS('Test Library'!$B:$B,$A12,'Test Library'!$F:$F,"Low")</f>
        <v>0</v>
      </c>
      <c r="G12" s="14">
        <f>COUNTIFS('Test Library'!$B:$B,$A12,'Test Library'!$D:$D,"Security")</f>
        <v>5</v>
      </c>
      <c r="H12" s="14">
        <f>COUNTIFS('Test Library'!$B:$B,$A12,'Test Library'!$D:$D,"Integration")</f>
        <v>0</v>
      </c>
      <c r="I12" s="14">
        <f>COUNTIFS('Test Library'!$B:$B,$A12,'Test Library'!$D:$D,"Accessibility")</f>
        <v>0</v>
      </c>
      <c r="J12" s="14">
        <f>SUM(COUNTIFS('Test Library'!$B:$B,$A12,'Test Library'!$D:$D,{"Performance","Recovery","Reliability","Concurrency"}))</f>
        <v>3</v>
      </c>
      <c r="K12" s="14">
        <f>COUNTIFS('Test Library'!$B:$B,$A12,'Test Library'!$M:$M,"&lt;&gt;Manual")</f>
        <v>16</v>
      </c>
      <c r="L12" s="14">
        <f>COUNTIFS('Test Library'!$B:$B,$A12,'Test Library'!$N:$N,"Yes")</f>
        <v>16</v>
      </c>
      <c r="M12" s="14">
        <f>COUNTIFS('Test Execution'!$D:$D,$A12,'Test Execution'!$I:$I,"Passed")</f>
        <v>0</v>
      </c>
      <c r="N12" s="14">
        <f>COUNTIFS('Test Execution'!$D:$D,$A12,'Test Execution'!$I:$I,"Failed")</f>
        <v>0</v>
      </c>
      <c r="O12" s="14">
        <f>COUNTIFS('Test Execution'!$D:$D,$A12,'Test Execution'!$I:$I,"Blocked")</f>
        <v>0</v>
      </c>
      <c r="P12" s="14">
        <f>COUNTIFS('Test Execution'!$D:$D,$A12,'Test Execution'!$I:$I,"Not Run")</f>
        <v>16</v>
      </c>
      <c r="Q12" s="19">
        <f>IFERROR(M12/SUM(M12:O12),0)</f>
        <v>0</v>
      </c>
      <c r="R12" s="14" t="str">
        <f>IF(COUNTIFS('Test Execution'!$D:$D,$A12,'Test Execution'!$P:$P,"Yes",'Test Execution'!$I:$I,"&lt;&gt;Passed")=0,"Ready","Not Ready")</f>
        <v>Not Ready</v>
      </c>
    </row>
    <row r="13">
      <c r="A13" s="14" t="inlineStr">
        <is>
          <t xml:space="preserve">NFC Clock-in Security</t>
        </is>
      </c>
      <c r="B13" s="14">
        <f>COUNTIF('Test Library'!$B:$B,$A13)</f>
        <v>30</v>
      </c>
      <c r="C13" s="14">
        <f>COUNTIFS('Test Library'!$B:$B,$A13,'Test Library'!$F:$F,"Critical")</f>
        <v>22</v>
      </c>
      <c r="D13" s="14">
        <f>COUNTIFS('Test Library'!$B:$B,$A13,'Test Library'!$F:$F,"High")</f>
        <v>8</v>
      </c>
      <c r="E13" s="14">
        <f>COUNTIFS('Test Library'!$B:$B,$A13,'Test Library'!$F:$F,"Medium")</f>
        <v>0</v>
      </c>
      <c r="F13" s="14">
        <f>COUNTIFS('Test Library'!$B:$B,$A13,'Test Library'!$F:$F,"Low")</f>
        <v>0</v>
      </c>
      <c r="G13" s="14">
        <f>COUNTIFS('Test Library'!$B:$B,$A13,'Test Library'!$D:$D,"Security")</f>
        <v>15</v>
      </c>
      <c r="H13" s="14">
        <f>COUNTIFS('Test Library'!$B:$B,$A13,'Test Library'!$D:$D,"Integration")</f>
        <v>1</v>
      </c>
      <c r="I13" s="14">
        <f>COUNTIFS('Test Library'!$B:$B,$A13,'Test Library'!$D:$D,"Accessibility")</f>
        <v>0</v>
      </c>
      <c r="J13" s="14">
        <f>SUM(COUNTIFS('Test Library'!$B:$B,$A13,'Test Library'!$D:$D,{"Performance","Recovery","Reliability","Concurrency"}))</f>
        <v>3</v>
      </c>
      <c r="K13" s="14">
        <f>COUNTIFS('Test Library'!$B:$B,$A13,'Test Library'!$M:$M,"&lt;&gt;Manual")</f>
        <v>30</v>
      </c>
      <c r="L13" s="14">
        <f>COUNTIFS('Test Library'!$B:$B,$A13,'Test Library'!$N:$N,"Yes")</f>
        <v>30</v>
      </c>
      <c r="M13" s="14">
        <f>COUNTIFS('Test Execution'!$D:$D,$A13,'Test Execution'!$I:$I,"Passed")</f>
        <v>0</v>
      </c>
      <c r="N13" s="14">
        <f>COUNTIFS('Test Execution'!$D:$D,$A13,'Test Execution'!$I:$I,"Failed")</f>
        <v>0</v>
      </c>
      <c r="O13" s="14">
        <f>COUNTIFS('Test Execution'!$D:$D,$A13,'Test Execution'!$I:$I,"Blocked")</f>
        <v>0</v>
      </c>
      <c r="P13" s="14">
        <f>COUNTIFS('Test Execution'!$D:$D,$A13,'Test Execution'!$I:$I,"Not Run")</f>
        <v>30</v>
      </c>
      <c r="Q13" s="19">
        <f>IFERROR(M13/SUM(M13:O13),0)</f>
        <v>0</v>
      </c>
      <c r="R13" s="14" t="str">
        <f>IF(COUNTIFS('Test Execution'!$D:$D,$A13,'Test Execution'!$P:$P,"Yes",'Test Execution'!$I:$I,"&lt;&gt;Passed")=0,"Ready","Not Ready")</f>
        <v>Not Ready</v>
      </c>
    </row>
    <row r="14">
      <c r="A14" s="14" t="inlineStr">
        <is>
          <t xml:space="preserve">Timesheets</t>
        </is>
      </c>
      <c r="B14" s="14">
        <f>COUNTIF('Test Library'!$B:$B,$A14)</f>
        <v>23</v>
      </c>
      <c r="C14" s="14">
        <f>COUNTIFS('Test Library'!$B:$B,$A14,'Test Library'!$F:$F,"Critical")</f>
        <v>12</v>
      </c>
      <c r="D14" s="14">
        <f>COUNTIFS('Test Library'!$B:$B,$A14,'Test Library'!$F:$F,"High")</f>
        <v>10</v>
      </c>
      <c r="E14" s="14">
        <f>COUNTIFS('Test Library'!$B:$B,$A14,'Test Library'!$F:$F,"Medium")</f>
        <v>1</v>
      </c>
      <c r="F14" s="14">
        <f>COUNTIFS('Test Library'!$B:$B,$A14,'Test Library'!$F:$F,"Low")</f>
        <v>0</v>
      </c>
      <c r="G14" s="14">
        <f>COUNTIFS('Test Library'!$B:$B,$A14,'Test Library'!$D:$D,"Security")</f>
        <v>5</v>
      </c>
      <c r="H14" s="14">
        <f>COUNTIFS('Test Library'!$B:$B,$A14,'Test Library'!$D:$D,"Integration")</f>
        <v>3</v>
      </c>
      <c r="I14" s="14">
        <f>COUNTIFS('Test Library'!$B:$B,$A14,'Test Library'!$D:$D,"Accessibility")</f>
        <v>0</v>
      </c>
      <c r="J14" s="14">
        <f>SUM(COUNTIFS('Test Library'!$B:$B,$A14,'Test Library'!$D:$D,{"Performance","Recovery","Reliability","Concurrency"}))</f>
        <v>1</v>
      </c>
      <c r="K14" s="14">
        <f>COUNTIFS('Test Library'!$B:$B,$A14,'Test Library'!$M:$M,"&lt;&gt;Manual")</f>
        <v>23</v>
      </c>
      <c r="L14" s="14">
        <f>COUNTIFS('Test Library'!$B:$B,$A14,'Test Library'!$N:$N,"Yes")</f>
        <v>22</v>
      </c>
      <c r="M14" s="14">
        <f>COUNTIFS('Test Execution'!$D:$D,$A14,'Test Execution'!$I:$I,"Passed")</f>
        <v>0</v>
      </c>
      <c r="N14" s="14">
        <f>COUNTIFS('Test Execution'!$D:$D,$A14,'Test Execution'!$I:$I,"Failed")</f>
        <v>0</v>
      </c>
      <c r="O14" s="14">
        <f>COUNTIFS('Test Execution'!$D:$D,$A14,'Test Execution'!$I:$I,"Blocked")</f>
        <v>0</v>
      </c>
      <c r="P14" s="14">
        <f>COUNTIFS('Test Execution'!$D:$D,$A14,'Test Execution'!$I:$I,"Not Run")</f>
        <v>23</v>
      </c>
      <c r="Q14" s="19">
        <f>IFERROR(M14/SUM(M14:O14),0)</f>
        <v>0</v>
      </c>
      <c r="R14" s="14" t="str">
        <f>IF(COUNTIFS('Test Execution'!$D:$D,$A14,'Test Execution'!$P:$P,"Yes",'Test Execution'!$I:$I,"&lt;&gt;Passed")=0,"Ready","Not Ready")</f>
        <v>Not Ready</v>
      </c>
    </row>
    <row r="15">
      <c r="A15" s="14" t="inlineStr">
        <is>
          <t xml:space="preserve">Manager Dashboard</t>
        </is>
      </c>
      <c r="B15" s="14">
        <f>COUNTIF('Test Library'!$B:$B,$A15)</f>
        <v>6</v>
      </c>
      <c r="C15" s="14">
        <f>COUNTIFS('Test Library'!$B:$B,$A15,'Test Library'!$F:$F,"Critical")</f>
        <v>1</v>
      </c>
      <c r="D15" s="14">
        <f>COUNTIFS('Test Library'!$B:$B,$A15,'Test Library'!$F:$F,"High")</f>
        <v>5</v>
      </c>
      <c r="E15" s="14">
        <f>COUNTIFS('Test Library'!$B:$B,$A15,'Test Library'!$F:$F,"Medium")</f>
        <v>0</v>
      </c>
      <c r="F15" s="14">
        <f>COUNTIFS('Test Library'!$B:$B,$A15,'Test Library'!$F:$F,"Low")</f>
        <v>0</v>
      </c>
      <c r="G15" s="14">
        <f>COUNTIFS('Test Library'!$B:$B,$A15,'Test Library'!$D:$D,"Security")</f>
        <v>1</v>
      </c>
      <c r="H15" s="14">
        <f>COUNTIFS('Test Library'!$B:$B,$A15,'Test Library'!$D:$D,"Integration")</f>
        <v>0</v>
      </c>
      <c r="I15" s="14">
        <f>COUNTIFS('Test Library'!$B:$B,$A15,'Test Library'!$D:$D,"Accessibility")</f>
        <v>0</v>
      </c>
      <c r="J15" s="14">
        <f>SUM(COUNTIFS('Test Library'!$B:$B,$A15,'Test Library'!$D:$D,{"Performance","Recovery","Reliability","Concurrency"}))</f>
        <v>1</v>
      </c>
      <c r="K15" s="14">
        <f>COUNTIFS('Test Library'!$B:$B,$A15,'Test Library'!$M:$M,"&lt;&gt;Manual")</f>
        <v>4</v>
      </c>
      <c r="L15" s="14">
        <f>COUNTIFS('Test Library'!$B:$B,$A15,'Test Library'!$N:$N,"Yes")</f>
        <v>6</v>
      </c>
      <c r="M15" s="14">
        <f>COUNTIFS('Test Execution'!$D:$D,$A15,'Test Execution'!$I:$I,"Passed")</f>
        <v>0</v>
      </c>
      <c r="N15" s="14">
        <f>COUNTIFS('Test Execution'!$D:$D,$A15,'Test Execution'!$I:$I,"Failed")</f>
        <v>0</v>
      </c>
      <c r="O15" s="14">
        <f>COUNTIFS('Test Execution'!$D:$D,$A15,'Test Execution'!$I:$I,"Blocked")</f>
        <v>0</v>
      </c>
      <c r="P15" s="14">
        <f>COUNTIFS('Test Execution'!$D:$D,$A15,'Test Execution'!$I:$I,"Not Run")</f>
        <v>6</v>
      </c>
      <c r="Q15" s="19">
        <f>IFERROR(M15/SUM(M15:O15),0)</f>
        <v>0</v>
      </c>
      <c r="R15" s="14" t="str">
        <f>IF(COUNTIFS('Test Execution'!$D:$D,$A15,'Test Execution'!$P:$P,"Yes",'Test Execution'!$I:$I,"&lt;&gt;Passed")=0,"Ready","Not Ready")</f>
        <v>Not Ready</v>
      </c>
    </row>
    <row r="16">
      <c r="A16" s="14" t="inlineStr">
        <is>
          <t xml:space="preserve">Payroll &amp; Sage Export</t>
        </is>
      </c>
      <c r="B16" s="14">
        <f>COUNTIF('Test Library'!$B:$B,$A16)</f>
        <v>12</v>
      </c>
      <c r="C16" s="14">
        <f>COUNTIFS('Test Library'!$B:$B,$A16,'Test Library'!$F:$F,"Critical")</f>
        <v>6</v>
      </c>
      <c r="D16" s="14">
        <f>COUNTIFS('Test Library'!$B:$B,$A16,'Test Library'!$F:$F,"High")</f>
        <v>5</v>
      </c>
      <c r="E16" s="14">
        <f>COUNTIFS('Test Library'!$B:$B,$A16,'Test Library'!$F:$F,"Medium")</f>
        <v>1</v>
      </c>
      <c r="F16" s="14">
        <f>COUNTIFS('Test Library'!$B:$B,$A16,'Test Library'!$F:$F,"Low")</f>
        <v>0</v>
      </c>
      <c r="G16" s="14">
        <f>COUNTIFS('Test Library'!$B:$B,$A16,'Test Library'!$D:$D,"Security")</f>
        <v>1</v>
      </c>
      <c r="H16" s="14">
        <f>COUNTIFS('Test Library'!$B:$B,$A16,'Test Library'!$D:$D,"Integration")</f>
        <v>1</v>
      </c>
      <c r="I16" s="14">
        <f>COUNTIFS('Test Library'!$B:$B,$A16,'Test Library'!$D:$D,"Accessibility")</f>
        <v>0</v>
      </c>
      <c r="J16" s="14">
        <f>SUM(COUNTIFS('Test Library'!$B:$B,$A16,'Test Library'!$D:$D,{"Performance","Recovery","Reliability","Concurrency"}))</f>
        <v>1</v>
      </c>
      <c r="K16" s="14">
        <f>COUNTIFS('Test Library'!$B:$B,$A16,'Test Library'!$M:$M,"&lt;&gt;Manual")</f>
        <v>12</v>
      </c>
      <c r="L16" s="14">
        <f>COUNTIFS('Test Library'!$B:$B,$A16,'Test Library'!$N:$N,"Yes")</f>
        <v>11</v>
      </c>
      <c r="M16" s="14">
        <f>COUNTIFS('Test Execution'!$D:$D,$A16,'Test Execution'!$I:$I,"Passed")</f>
        <v>0</v>
      </c>
      <c r="N16" s="14">
        <f>COUNTIFS('Test Execution'!$D:$D,$A16,'Test Execution'!$I:$I,"Failed")</f>
        <v>0</v>
      </c>
      <c r="O16" s="14">
        <f>COUNTIFS('Test Execution'!$D:$D,$A16,'Test Execution'!$I:$I,"Blocked")</f>
        <v>0</v>
      </c>
      <c r="P16" s="14">
        <f>COUNTIFS('Test Execution'!$D:$D,$A16,'Test Execution'!$I:$I,"Not Run")</f>
        <v>12</v>
      </c>
      <c r="Q16" s="19">
        <f>IFERROR(M16/SUM(M16:O16),0)</f>
        <v>0</v>
      </c>
      <c r="R16" s="14" t="str">
        <f>IF(COUNTIFS('Test Execution'!$D:$D,$A16,'Test Execution'!$P:$P,"Yes",'Test Execution'!$I:$I,"&lt;&gt;Passed")=0,"Ready","Not Ready")</f>
        <v>Not Ready</v>
      </c>
    </row>
    <row r="17">
      <c r="A17" s="14" t="inlineStr">
        <is>
          <t xml:space="preserve">Billing &amp; Stripe</t>
        </is>
      </c>
      <c r="B17" s="14">
        <f>COUNTIF('Test Library'!$B:$B,$A17)</f>
        <v>34</v>
      </c>
      <c r="C17" s="14">
        <f>COUNTIFS('Test Library'!$B:$B,$A17,'Test Library'!$F:$F,"Critical")</f>
        <v>28</v>
      </c>
      <c r="D17" s="14">
        <f>COUNTIFS('Test Library'!$B:$B,$A17,'Test Library'!$F:$F,"High")</f>
        <v>6</v>
      </c>
      <c r="E17" s="14">
        <f>COUNTIFS('Test Library'!$B:$B,$A17,'Test Library'!$F:$F,"Medium")</f>
        <v>0</v>
      </c>
      <c r="F17" s="14">
        <f>COUNTIFS('Test Library'!$B:$B,$A17,'Test Library'!$F:$F,"Low")</f>
        <v>0</v>
      </c>
      <c r="G17" s="14">
        <f>COUNTIFS('Test Library'!$B:$B,$A17,'Test Library'!$D:$D,"Security")</f>
        <v>2</v>
      </c>
      <c r="H17" s="14">
        <f>COUNTIFS('Test Library'!$B:$B,$A17,'Test Library'!$D:$D,"Integration")</f>
        <v>5</v>
      </c>
      <c r="I17" s="14">
        <f>COUNTIFS('Test Library'!$B:$B,$A17,'Test Library'!$D:$D,"Accessibility")</f>
        <v>0</v>
      </c>
      <c r="J17" s="14">
        <f>SUM(COUNTIFS('Test Library'!$B:$B,$A17,'Test Library'!$D:$D,{"Performance","Recovery","Reliability","Concurrency"}))</f>
        <v>3</v>
      </c>
      <c r="K17" s="14">
        <f>COUNTIFS('Test Library'!$B:$B,$A17,'Test Library'!$M:$M,"&lt;&gt;Manual")</f>
        <v>34</v>
      </c>
      <c r="L17" s="14">
        <f>COUNTIFS('Test Library'!$B:$B,$A17,'Test Library'!$N:$N,"Yes")</f>
        <v>34</v>
      </c>
      <c r="M17" s="14">
        <f>COUNTIFS('Test Execution'!$D:$D,$A17,'Test Execution'!$I:$I,"Passed")</f>
        <v>0</v>
      </c>
      <c r="N17" s="14">
        <f>COUNTIFS('Test Execution'!$D:$D,$A17,'Test Execution'!$I:$I,"Failed")</f>
        <v>0</v>
      </c>
      <c r="O17" s="14">
        <f>COUNTIFS('Test Execution'!$D:$D,$A17,'Test Execution'!$I:$I,"Blocked")</f>
        <v>0</v>
      </c>
      <c r="P17" s="14">
        <f>COUNTIFS('Test Execution'!$D:$D,$A17,'Test Execution'!$I:$I,"Not Run")</f>
        <v>34</v>
      </c>
      <c r="Q17" s="19">
        <f>IFERROR(M17/SUM(M17:O17),0)</f>
        <v>0</v>
      </c>
      <c r="R17" s="14" t="str">
        <f>IF(COUNTIFS('Test Execution'!$D:$D,$A17,'Test Execution'!$P:$P,"Yes",'Test Execution'!$I:$I,"&lt;&gt;Passed")=0,"Ready","Not Ready")</f>
        <v>Not Ready</v>
      </c>
    </row>
    <row r="18">
      <c r="A18" s="14" t="inlineStr">
        <is>
          <t xml:space="preserve">Transactional Emails</t>
        </is>
      </c>
      <c r="B18" s="14">
        <f>COUNTIF('Test Library'!$B:$B,$A18)</f>
        <v>18</v>
      </c>
      <c r="C18" s="14">
        <f>COUNTIFS('Test Library'!$B:$B,$A18,'Test Library'!$F:$F,"Critical")</f>
        <v>7</v>
      </c>
      <c r="D18" s="14">
        <f>COUNTIFS('Test Library'!$B:$B,$A18,'Test Library'!$F:$F,"High")</f>
        <v>9</v>
      </c>
      <c r="E18" s="14">
        <f>COUNTIFS('Test Library'!$B:$B,$A18,'Test Library'!$F:$F,"Medium")</f>
        <v>2</v>
      </c>
      <c r="F18" s="14">
        <f>COUNTIFS('Test Library'!$B:$B,$A18,'Test Library'!$F:$F,"Low")</f>
        <v>0</v>
      </c>
      <c r="G18" s="14">
        <f>COUNTIFS('Test Library'!$B:$B,$A18,'Test Library'!$D:$D,"Security")</f>
        <v>4</v>
      </c>
      <c r="H18" s="14">
        <f>COUNTIFS('Test Library'!$B:$B,$A18,'Test Library'!$D:$D,"Integration")</f>
        <v>3</v>
      </c>
      <c r="I18" s="14">
        <f>COUNTIFS('Test Library'!$B:$B,$A18,'Test Library'!$D:$D,"Accessibility")</f>
        <v>1</v>
      </c>
      <c r="J18" s="14">
        <f>SUM(COUNTIFS('Test Library'!$B:$B,$A18,'Test Library'!$D:$D,{"Performance","Recovery","Reliability","Concurrency"}))</f>
        <v>2</v>
      </c>
      <c r="K18" s="14">
        <f>COUNTIFS('Test Library'!$B:$B,$A18,'Test Library'!$M:$M,"&lt;&gt;Manual")</f>
        <v>18</v>
      </c>
      <c r="L18" s="14">
        <f>COUNTIFS('Test Library'!$B:$B,$A18,'Test Library'!$N:$N,"Yes")</f>
        <v>16</v>
      </c>
      <c r="M18" s="14">
        <f>COUNTIFS('Test Execution'!$D:$D,$A18,'Test Execution'!$I:$I,"Passed")</f>
        <v>0</v>
      </c>
      <c r="N18" s="14">
        <f>COUNTIFS('Test Execution'!$D:$D,$A18,'Test Execution'!$I:$I,"Failed")</f>
        <v>0</v>
      </c>
      <c r="O18" s="14">
        <f>COUNTIFS('Test Execution'!$D:$D,$A18,'Test Execution'!$I:$I,"Blocked")</f>
        <v>0</v>
      </c>
      <c r="P18" s="14">
        <f>COUNTIFS('Test Execution'!$D:$D,$A18,'Test Execution'!$I:$I,"Not Run")</f>
        <v>18</v>
      </c>
      <c r="Q18" s="19">
        <f>IFERROR(M18/SUM(M18:O18),0)</f>
        <v>0</v>
      </c>
      <c r="R18" s="14" t="str">
        <f>IF(COUNTIFS('Test Execution'!$D:$D,$A18,'Test Execution'!$P:$P,"Yes",'Test Execution'!$I:$I,"&lt;&gt;Passed")=0,"Ready","Not Ready")</f>
        <v>Not Ready</v>
      </c>
    </row>
    <row r="19">
      <c r="A19" s="14" t="inlineStr">
        <is>
          <t xml:space="preserve">PWA, Push &amp; Offline</t>
        </is>
      </c>
      <c r="B19" s="14">
        <f>COUNTIF('Test Library'!$B:$B,$A19)</f>
        <v>28</v>
      </c>
      <c r="C19" s="14">
        <f>COUNTIFS('Test Library'!$B:$B,$A19,'Test Library'!$F:$F,"Critical")</f>
        <v>11</v>
      </c>
      <c r="D19" s="14">
        <f>COUNTIFS('Test Library'!$B:$B,$A19,'Test Library'!$F:$F,"High")</f>
        <v>15</v>
      </c>
      <c r="E19" s="14">
        <f>COUNTIFS('Test Library'!$B:$B,$A19,'Test Library'!$F:$F,"Medium")</f>
        <v>2</v>
      </c>
      <c r="F19" s="14">
        <f>COUNTIFS('Test Library'!$B:$B,$A19,'Test Library'!$F:$F,"Low")</f>
        <v>0</v>
      </c>
      <c r="G19" s="14">
        <f>COUNTIFS('Test Library'!$B:$B,$A19,'Test Library'!$D:$D,"Security")</f>
        <v>2</v>
      </c>
      <c r="H19" s="14">
        <f>COUNTIFS('Test Library'!$B:$B,$A19,'Test Library'!$D:$D,"Integration")</f>
        <v>2</v>
      </c>
      <c r="I19" s="14">
        <f>COUNTIFS('Test Library'!$B:$B,$A19,'Test Library'!$D:$D,"Accessibility")</f>
        <v>0</v>
      </c>
      <c r="J19" s="14">
        <f>SUM(COUNTIFS('Test Library'!$B:$B,$A19,'Test Library'!$D:$D,{"Performance","Recovery","Reliability","Concurrency"}))</f>
        <v>12</v>
      </c>
      <c r="K19" s="14">
        <f>COUNTIFS('Test Library'!$B:$B,$A19,'Test Library'!$M:$M,"&lt;&gt;Manual")</f>
        <v>25</v>
      </c>
      <c r="L19" s="14">
        <f>COUNTIFS('Test Library'!$B:$B,$A19,'Test Library'!$N:$N,"Yes")</f>
        <v>24</v>
      </c>
      <c r="M19" s="14">
        <f>COUNTIFS('Test Execution'!$D:$D,$A19,'Test Execution'!$I:$I,"Passed")</f>
        <v>0</v>
      </c>
      <c r="N19" s="14">
        <f>COUNTIFS('Test Execution'!$D:$D,$A19,'Test Execution'!$I:$I,"Failed")</f>
        <v>0</v>
      </c>
      <c r="O19" s="14">
        <f>COUNTIFS('Test Execution'!$D:$D,$A19,'Test Execution'!$I:$I,"Blocked")</f>
        <v>0</v>
      </c>
      <c r="P19" s="14">
        <f>COUNTIFS('Test Execution'!$D:$D,$A19,'Test Execution'!$I:$I,"Not Run")</f>
        <v>28</v>
      </c>
      <c r="Q19" s="19">
        <f>IFERROR(M19/SUM(M19:O19),0)</f>
        <v>0</v>
      </c>
      <c r="R19" s="14" t="str">
        <f>IF(COUNTIFS('Test Execution'!$D:$D,$A19,'Test Execution'!$P:$P,"Yes",'Test Execution'!$I:$I,"&lt;&gt;Passed")=0,"Ready","Not Ready")</f>
        <v>Not Ready</v>
      </c>
    </row>
    <row r="20">
      <c r="A20" s="14" t="inlineStr">
        <is>
          <t xml:space="preserve">Admin Console &amp; Support</t>
        </is>
      </c>
      <c r="B20" s="14">
        <f>COUNTIF('Test Library'!$B:$B,$A20)</f>
        <v>22</v>
      </c>
      <c r="C20" s="14">
        <f>COUNTIFS('Test Library'!$B:$B,$A20,'Test Library'!$F:$F,"Critical")</f>
        <v>11</v>
      </c>
      <c r="D20" s="14">
        <f>COUNTIFS('Test Library'!$B:$B,$A20,'Test Library'!$F:$F,"High")</f>
        <v>9</v>
      </c>
      <c r="E20" s="14">
        <f>COUNTIFS('Test Library'!$B:$B,$A20,'Test Library'!$F:$F,"Medium")</f>
        <v>2</v>
      </c>
      <c r="F20" s="14">
        <f>COUNTIFS('Test Library'!$B:$B,$A20,'Test Library'!$F:$F,"Low")</f>
        <v>0</v>
      </c>
      <c r="G20" s="14">
        <f>COUNTIFS('Test Library'!$B:$B,$A20,'Test Library'!$D:$D,"Security")</f>
        <v>10</v>
      </c>
      <c r="H20" s="14">
        <f>COUNTIFS('Test Library'!$B:$B,$A20,'Test Library'!$D:$D,"Integration")</f>
        <v>0</v>
      </c>
      <c r="I20" s="14">
        <f>COUNTIFS('Test Library'!$B:$B,$A20,'Test Library'!$D:$D,"Accessibility")</f>
        <v>0</v>
      </c>
      <c r="J20" s="14">
        <f>SUM(COUNTIFS('Test Library'!$B:$B,$A20,'Test Library'!$D:$D,{"Performance","Recovery","Reliability","Concurrency"}))</f>
        <v>0</v>
      </c>
      <c r="K20" s="14">
        <f>COUNTIFS('Test Library'!$B:$B,$A20,'Test Library'!$M:$M,"&lt;&gt;Manual")</f>
        <v>22</v>
      </c>
      <c r="L20" s="14">
        <f>COUNTIFS('Test Library'!$B:$B,$A20,'Test Library'!$N:$N,"Yes")</f>
        <v>20</v>
      </c>
      <c r="M20" s="14">
        <f>COUNTIFS('Test Execution'!$D:$D,$A20,'Test Execution'!$I:$I,"Passed")</f>
        <v>0</v>
      </c>
      <c r="N20" s="14">
        <f>COUNTIFS('Test Execution'!$D:$D,$A20,'Test Execution'!$I:$I,"Failed")</f>
        <v>0</v>
      </c>
      <c r="O20" s="14">
        <f>COUNTIFS('Test Execution'!$D:$D,$A20,'Test Execution'!$I:$I,"Blocked")</f>
        <v>0</v>
      </c>
      <c r="P20" s="14">
        <f>COUNTIFS('Test Execution'!$D:$D,$A20,'Test Execution'!$I:$I,"Not Run")</f>
        <v>22</v>
      </c>
      <c r="Q20" s="19">
        <f>IFERROR(M20/SUM(M20:O20),0)</f>
        <v>0</v>
      </c>
      <c r="R20" s="14" t="str">
        <f>IF(COUNTIFS('Test Execution'!$D:$D,$A20,'Test Execution'!$P:$P,"Yes",'Test Execution'!$I:$I,"&lt;&gt;Passed")=0,"Ready","Not Ready")</f>
        <v>Not Ready</v>
      </c>
    </row>
    <row r="21">
      <c r="A21" s="14" t="inlineStr">
        <is>
          <t xml:space="preserve">Security &amp; Multi-tenancy</t>
        </is>
      </c>
      <c r="B21" s="14">
        <f>COUNTIF('Test Library'!$B:$B,$A21)</f>
        <v>24</v>
      </c>
      <c r="C21" s="14">
        <f>COUNTIFS('Test Library'!$B:$B,$A21,'Test Library'!$F:$F,"Critical")</f>
        <v>21</v>
      </c>
      <c r="D21" s="14">
        <f>COUNTIFS('Test Library'!$B:$B,$A21,'Test Library'!$F:$F,"High")</f>
        <v>3</v>
      </c>
      <c r="E21" s="14">
        <f>COUNTIFS('Test Library'!$B:$B,$A21,'Test Library'!$F:$F,"Medium")</f>
        <v>0</v>
      </c>
      <c r="F21" s="14">
        <f>COUNTIFS('Test Library'!$B:$B,$A21,'Test Library'!$F:$F,"Low")</f>
        <v>0</v>
      </c>
      <c r="G21" s="14">
        <f>COUNTIFS('Test Library'!$B:$B,$A21,'Test Library'!$D:$D,"Security")</f>
        <v>24</v>
      </c>
      <c r="H21" s="14">
        <f>COUNTIFS('Test Library'!$B:$B,$A21,'Test Library'!$D:$D,"Integration")</f>
        <v>0</v>
      </c>
      <c r="I21" s="14">
        <f>COUNTIFS('Test Library'!$B:$B,$A21,'Test Library'!$D:$D,"Accessibility")</f>
        <v>0</v>
      </c>
      <c r="J21" s="14">
        <f>SUM(COUNTIFS('Test Library'!$B:$B,$A21,'Test Library'!$D:$D,{"Performance","Recovery","Reliability","Concurrency"}))</f>
        <v>0</v>
      </c>
      <c r="K21" s="14">
        <f>COUNTIFS('Test Library'!$B:$B,$A21,'Test Library'!$M:$M,"&lt;&gt;Manual")</f>
        <v>24</v>
      </c>
      <c r="L21" s="14">
        <f>COUNTIFS('Test Library'!$B:$B,$A21,'Test Library'!$N:$N,"Yes")</f>
        <v>24</v>
      </c>
      <c r="M21" s="14">
        <f>COUNTIFS('Test Execution'!$D:$D,$A21,'Test Execution'!$I:$I,"Passed")</f>
        <v>0</v>
      </c>
      <c r="N21" s="14">
        <f>COUNTIFS('Test Execution'!$D:$D,$A21,'Test Execution'!$I:$I,"Failed")</f>
        <v>0</v>
      </c>
      <c r="O21" s="14">
        <f>COUNTIFS('Test Execution'!$D:$D,$A21,'Test Execution'!$I:$I,"Blocked")</f>
        <v>0</v>
      </c>
      <c r="P21" s="14">
        <f>COUNTIFS('Test Execution'!$D:$D,$A21,'Test Execution'!$I:$I,"Not Run")</f>
        <v>24</v>
      </c>
      <c r="Q21" s="19">
        <f>IFERROR(M21/SUM(M21:O21),0)</f>
        <v>0</v>
      </c>
      <c r="R21" s="14" t="str">
        <f>IF(COUNTIFS('Test Execution'!$D:$D,$A21,'Test Execution'!$P:$P,"Yes",'Test Execution'!$I:$I,"&lt;&gt;Passed")=0,"Ready","Not Ready")</f>
        <v>Not Ready</v>
      </c>
    </row>
    <row r="22">
      <c r="A22" s="14" t="inlineStr">
        <is>
          <t xml:space="preserve">Accessibility &amp; Usability</t>
        </is>
      </c>
      <c r="B22" s="14">
        <f>COUNTIF('Test Library'!$B:$B,$A22)</f>
        <v>16</v>
      </c>
      <c r="C22" s="14">
        <f>COUNTIFS('Test Library'!$B:$B,$A22,'Test Library'!$F:$F,"Critical")</f>
        <v>3</v>
      </c>
      <c r="D22" s="14">
        <f>COUNTIFS('Test Library'!$B:$B,$A22,'Test Library'!$F:$F,"High")</f>
        <v>9</v>
      </c>
      <c r="E22" s="14">
        <f>COUNTIFS('Test Library'!$B:$B,$A22,'Test Library'!$F:$F,"Medium")</f>
        <v>4</v>
      </c>
      <c r="F22" s="14">
        <f>COUNTIFS('Test Library'!$B:$B,$A22,'Test Library'!$F:$F,"Low")</f>
        <v>0</v>
      </c>
      <c r="G22" s="14">
        <f>COUNTIFS('Test Library'!$B:$B,$A22,'Test Library'!$D:$D,"Security")</f>
        <v>0</v>
      </c>
      <c r="H22" s="14">
        <f>COUNTIFS('Test Library'!$B:$B,$A22,'Test Library'!$D:$D,"Integration")</f>
        <v>0</v>
      </c>
      <c r="I22" s="14">
        <f>COUNTIFS('Test Library'!$B:$B,$A22,'Test Library'!$D:$D,"Accessibility")</f>
        <v>11</v>
      </c>
      <c r="J22" s="14">
        <f>SUM(COUNTIFS('Test Library'!$B:$B,$A22,'Test Library'!$D:$D,{"Performance","Recovery","Reliability","Concurrency"}))</f>
        <v>0</v>
      </c>
      <c r="K22" s="14">
        <f>COUNTIFS('Test Library'!$B:$B,$A22,'Test Library'!$M:$M,"&lt;&gt;Manual")</f>
        <v>16</v>
      </c>
      <c r="L22" s="14">
        <f>COUNTIFS('Test Library'!$B:$B,$A22,'Test Library'!$N:$N,"Yes")</f>
        <v>12</v>
      </c>
      <c r="M22" s="14">
        <f>COUNTIFS('Test Execution'!$D:$D,$A22,'Test Execution'!$I:$I,"Passed")</f>
        <v>0</v>
      </c>
      <c r="N22" s="14">
        <f>COUNTIFS('Test Execution'!$D:$D,$A22,'Test Execution'!$I:$I,"Failed")</f>
        <v>0</v>
      </c>
      <c r="O22" s="14">
        <f>COUNTIFS('Test Execution'!$D:$D,$A22,'Test Execution'!$I:$I,"Blocked")</f>
        <v>0</v>
      </c>
      <c r="P22" s="14">
        <f>COUNTIFS('Test Execution'!$D:$D,$A22,'Test Execution'!$I:$I,"Not Run")</f>
        <v>16</v>
      </c>
      <c r="Q22" s="19">
        <f>IFERROR(M22/SUM(M22:O22),0)</f>
        <v>0</v>
      </c>
      <c r="R22" s="14" t="str">
        <f>IF(COUNTIFS('Test Execution'!$D:$D,$A22,'Test Execution'!$P:$P,"Yes",'Test Execution'!$I:$I,"&lt;&gt;Passed")=0,"Ready","Not Ready")</f>
        <v>Not Ready</v>
      </c>
    </row>
    <row r="23">
      <c r="A23" s="14" t="inlineStr">
        <is>
          <t xml:space="preserve">Performance &amp; Reliability</t>
        </is>
      </c>
      <c r="B23" s="14">
        <f>COUNTIF('Test Library'!$B:$B,$A23)</f>
        <v>20</v>
      </c>
      <c r="C23" s="14">
        <f>COUNTIFS('Test Library'!$B:$B,$A23,'Test Library'!$F:$F,"Critical")</f>
        <v>6</v>
      </c>
      <c r="D23" s="14">
        <f>COUNTIFS('Test Library'!$B:$B,$A23,'Test Library'!$F:$F,"High")</f>
        <v>12</v>
      </c>
      <c r="E23" s="14">
        <f>COUNTIFS('Test Library'!$B:$B,$A23,'Test Library'!$F:$F,"Medium")</f>
        <v>2</v>
      </c>
      <c r="F23" s="14">
        <f>COUNTIFS('Test Library'!$B:$B,$A23,'Test Library'!$F:$F,"Low")</f>
        <v>0</v>
      </c>
      <c r="G23" s="14">
        <f>COUNTIFS('Test Library'!$B:$B,$A23,'Test Library'!$D:$D,"Security")</f>
        <v>0</v>
      </c>
      <c r="H23" s="14">
        <f>COUNTIFS('Test Library'!$B:$B,$A23,'Test Library'!$D:$D,"Integration")</f>
        <v>0</v>
      </c>
      <c r="I23" s="14">
        <f>COUNTIFS('Test Library'!$B:$B,$A23,'Test Library'!$D:$D,"Accessibility")</f>
        <v>0</v>
      </c>
      <c r="J23" s="14">
        <f>SUM(COUNTIFS('Test Library'!$B:$B,$A23,'Test Library'!$D:$D,{"Performance","Recovery","Reliability","Concurrency"}))</f>
        <v>19</v>
      </c>
      <c r="K23" s="14">
        <f>COUNTIFS('Test Library'!$B:$B,$A23,'Test Library'!$M:$M,"&lt;&gt;Manual")</f>
        <v>19</v>
      </c>
      <c r="L23" s="14">
        <f>COUNTIFS('Test Library'!$B:$B,$A23,'Test Library'!$N:$N,"Yes")</f>
        <v>18</v>
      </c>
      <c r="M23" s="14">
        <f>COUNTIFS('Test Execution'!$D:$D,$A23,'Test Execution'!$I:$I,"Passed")</f>
        <v>0</v>
      </c>
      <c r="N23" s="14">
        <f>COUNTIFS('Test Execution'!$D:$D,$A23,'Test Execution'!$I:$I,"Failed")</f>
        <v>0</v>
      </c>
      <c r="O23" s="14">
        <f>COUNTIFS('Test Execution'!$D:$D,$A23,'Test Execution'!$I:$I,"Blocked")</f>
        <v>0</v>
      </c>
      <c r="P23" s="14">
        <f>COUNTIFS('Test Execution'!$D:$D,$A23,'Test Execution'!$I:$I,"Not Run")</f>
        <v>20</v>
      </c>
      <c r="Q23" s="19">
        <f>IFERROR(M23/SUM(M23:O23),0)</f>
        <v>0</v>
      </c>
      <c r="R23" s="14" t="str">
        <f>IF(COUNTIFS('Test Execution'!$D:$D,$A23,'Test Execution'!$P:$P,"Yes",'Test Execution'!$I:$I,"&lt;&gt;Passed")=0,"Ready","Not Ready")</f>
        <v>Not Ready</v>
      </c>
    </row>
    <row r="24">
      <c r="A24" s="14" t="inlineStr">
        <is>
          <t xml:space="preserve">Deployment, Domains &amp; Monitoring</t>
        </is>
      </c>
      <c r="B24" s="14">
        <f>COUNTIF('Test Library'!$B:$B,$A24)</f>
        <v>16</v>
      </c>
      <c r="C24" s="14">
        <f>COUNTIFS('Test Library'!$B:$B,$A24,'Test Library'!$F:$F,"Critical")</f>
        <v>11</v>
      </c>
      <c r="D24" s="14">
        <f>COUNTIFS('Test Library'!$B:$B,$A24,'Test Library'!$F:$F,"High")</f>
        <v>5</v>
      </c>
      <c r="E24" s="14">
        <f>COUNTIFS('Test Library'!$B:$B,$A24,'Test Library'!$F:$F,"Medium")</f>
        <v>0</v>
      </c>
      <c r="F24" s="14">
        <f>COUNTIFS('Test Library'!$B:$B,$A24,'Test Library'!$F:$F,"Low")</f>
        <v>0</v>
      </c>
      <c r="G24" s="14">
        <f>COUNTIFS('Test Library'!$B:$B,$A24,'Test Library'!$D:$D,"Security")</f>
        <v>1</v>
      </c>
      <c r="H24" s="14">
        <f>COUNTIFS('Test Library'!$B:$B,$A24,'Test Library'!$D:$D,"Integration")</f>
        <v>0</v>
      </c>
      <c r="I24" s="14">
        <f>COUNTIFS('Test Library'!$B:$B,$A24,'Test Library'!$D:$D,"Accessibility")</f>
        <v>0</v>
      </c>
      <c r="J24" s="14">
        <f>SUM(COUNTIFS('Test Library'!$B:$B,$A24,'Test Library'!$D:$D,{"Performance","Recovery","Reliability","Concurrency"}))</f>
        <v>1</v>
      </c>
      <c r="K24" s="14">
        <f>COUNTIFS('Test Library'!$B:$B,$A24,'Test Library'!$M:$M,"&lt;&gt;Manual")</f>
        <v>16</v>
      </c>
      <c r="L24" s="14">
        <f>COUNTIFS('Test Library'!$B:$B,$A24,'Test Library'!$N:$N,"Yes")</f>
        <v>16</v>
      </c>
      <c r="M24" s="14">
        <f>COUNTIFS('Test Execution'!$D:$D,$A24,'Test Execution'!$I:$I,"Passed")</f>
        <v>0</v>
      </c>
      <c r="N24" s="14">
        <f>COUNTIFS('Test Execution'!$D:$D,$A24,'Test Execution'!$I:$I,"Failed")</f>
        <v>0</v>
      </c>
      <c r="O24" s="14">
        <f>COUNTIFS('Test Execution'!$D:$D,$A24,'Test Execution'!$I:$I,"Blocked")</f>
        <v>0</v>
      </c>
      <c r="P24" s="14">
        <f>COUNTIFS('Test Execution'!$D:$D,$A24,'Test Execution'!$I:$I,"Not Run")</f>
        <v>16</v>
      </c>
      <c r="Q24" s="19">
        <f>IFERROR(M24/SUM(M24:O24),0)</f>
        <v>0</v>
      </c>
      <c r="R24" s="14" t="str">
        <f>IF(COUNTIFS('Test Execution'!$D:$D,$A24,'Test Execution'!$P:$P,"Yes",'Test Execution'!$I:$I,"&lt;&gt;Passed")=0,"Ready","Not Ready")</f>
        <v>Not Ready</v>
      </c>
    </row>
    <row r="25">
      <c r="A25" s="14" t="inlineStr">
        <is>
          <t xml:space="preserve">Data Lifecycle &amp; Recovery</t>
        </is>
      </c>
      <c r="B25" s="14">
        <f>COUNTIF('Test Library'!$B:$B,$A25)</f>
        <v>13</v>
      </c>
      <c r="C25" s="14">
        <f>COUNTIFS('Test Library'!$B:$B,$A25,'Test Library'!$F:$F,"Critical")</f>
        <v>7</v>
      </c>
      <c r="D25" s="14">
        <f>COUNTIFS('Test Library'!$B:$B,$A25,'Test Library'!$F:$F,"High")</f>
        <v>6</v>
      </c>
      <c r="E25" s="14">
        <f>COUNTIFS('Test Library'!$B:$B,$A25,'Test Library'!$F:$F,"Medium")</f>
        <v>0</v>
      </c>
      <c r="F25" s="14">
        <f>COUNTIFS('Test Library'!$B:$B,$A25,'Test Library'!$F:$F,"Low")</f>
        <v>0</v>
      </c>
      <c r="G25" s="14">
        <f>COUNTIFS('Test Library'!$B:$B,$A25,'Test Library'!$D:$D,"Security")</f>
        <v>4</v>
      </c>
      <c r="H25" s="14">
        <f>COUNTIFS('Test Library'!$B:$B,$A25,'Test Library'!$D:$D,"Integration")</f>
        <v>0</v>
      </c>
      <c r="I25" s="14">
        <f>COUNTIFS('Test Library'!$B:$B,$A25,'Test Library'!$D:$D,"Accessibility")</f>
        <v>0</v>
      </c>
      <c r="J25" s="14">
        <f>SUM(COUNTIFS('Test Library'!$B:$B,$A25,'Test Library'!$D:$D,{"Performance","Recovery","Reliability","Concurrency"}))</f>
        <v>5</v>
      </c>
      <c r="K25" s="14">
        <f>COUNTIFS('Test Library'!$B:$B,$A25,'Test Library'!$M:$M,"&lt;&gt;Manual")</f>
        <v>13</v>
      </c>
      <c r="L25" s="14">
        <f>COUNTIFS('Test Library'!$B:$B,$A25,'Test Library'!$N:$N,"Yes")</f>
        <v>13</v>
      </c>
      <c r="M25" s="14">
        <f>COUNTIFS('Test Execution'!$D:$D,$A25,'Test Execution'!$I:$I,"Passed")</f>
        <v>0</v>
      </c>
      <c r="N25" s="14">
        <f>COUNTIFS('Test Execution'!$D:$D,$A25,'Test Execution'!$I:$I,"Failed")</f>
        <v>0</v>
      </c>
      <c r="O25" s="14">
        <f>COUNTIFS('Test Execution'!$D:$D,$A25,'Test Execution'!$I:$I,"Blocked")</f>
        <v>0</v>
      </c>
      <c r="P25" s="14">
        <f>COUNTIFS('Test Execution'!$D:$D,$A25,'Test Execution'!$I:$I,"Not Run")</f>
        <v>13</v>
      </c>
      <c r="Q25" s="19">
        <f>IFERROR(M25/SUM(M25:O25),0)</f>
        <v>0</v>
      </c>
      <c r="R25" s="14" t="str">
        <f>IF(COUNTIFS('Test Execution'!$D:$D,$A25,'Test Execution'!$P:$P,"Yes",'Test Execution'!$I:$I,"&lt;&gt;Passed")=0,"Ready","Not Ready")</f>
        <v>Not Ready</v>
      </c>
    </row>
  </sheetData>
  <conditionalFormatting sqref="Q2:Q25">
    <cfRule type="colorScale" priority="1">
      <colorScale>
        <cfvo type="min"/>
        <cfvo type="percentile" val="50"/>
        <cfvo type="max"/>
        <color rgb="FFFEE2E2"/>
        <color rgb="FFFEF3C7"/>
        <color rgb="FFDCFCE7"/>
      </colorScale>
    </cfRule>
  </conditionalFormatting>
  <conditionalFormatting sqref="R2:R25">
    <cfRule type="expression" dxfId="13" priority="2">
      <formula>R2="Ready"</formula>
    </cfRule>
    <cfRule type="expression" dxfId="14" priority="3">
      <formula>R2="Not Ready"</formula>
    </cfRule>
  </conditionalFormatting>
  <pageMargins left="0.7" right="0.7" top="0.75" bottom="0.75" header="0.3" footer="0.3"/>
  <tableParts count="1">
    <tablePart r:id="R50a5d7f4abd246c5"/>
  </tableParts>
</worksheet>
</file>

<file path=xl/worksheets/sheet7.xml><?xml version="1.0" encoding="utf-8"?>
<worksheet xmlns="http://schemas.openxmlformats.org/spreadsheetml/2006/main" xmlns:r="http://schemas.openxmlformats.org/officeDocument/2006/relationships">
  <sheetFormatPr defaultRowHeight="15"/>
  <cols>
    <col min="1" max="1" width="12" hidden="0" customWidth="1"/>
    <col min="2" max="2" width="18" hidden="0" customWidth="1"/>
    <col min="3" max="3" width="60" hidden="0" customWidth="1"/>
    <col min="4" max="4" width="18" hidden="0" customWidth="1"/>
    <col min="5" max="5" width="14" hidden="0" customWidth="1"/>
    <col min="6" max="6" width="14" hidden="0" customWidth="1"/>
    <col min="7" max="7" width="28" hidden="0" customWidth="1"/>
    <col min="8" max="8" width="32" hidden="0" customWidth="1"/>
  </cols>
  <sheetData>
    <row r="1" ht="34" customHeight="1">
      <c r="A1" s="6" t="inlineStr">
        <is>
          <t xml:space="preserve">Check ID</t>
        </is>
      </c>
      <c r="B1" s="6" t="inlineStr">
        <is>
          <t xml:space="preserve">Category</t>
        </is>
      </c>
      <c r="C1" s="6" t="inlineStr">
        <is>
          <t xml:space="preserve">Release Readiness Check</t>
        </is>
      </c>
      <c r="D1" s="6" t="inlineStr">
        <is>
          <t xml:space="preserve">Owner</t>
        </is>
      </c>
      <c r="E1" s="6" t="inlineStr">
        <is>
          <t xml:space="preserve">Required</t>
        </is>
      </c>
      <c r="F1" s="6" t="inlineStr">
        <is>
          <t xml:space="preserve">Status</t>
        </is>
      </c>
      <c r="G1" s="6" t="inlineStr">
        <is>
          <t xml:space="preserve">Evidence / Link</t>
        </is>
      </c>
      <c r="H1" s="6" t="inlineStr">
        <is>
          <t xml:space="preserve">Notes</t>
        </is>
      </c>
    </row>
    <row r="2">
      <c r="A2" s="14" t="inlineStr">
        <is>
          <t xml:space="preserve">RC-001</t>
        </is>
      </c>
      <c r="B2" s="14" t="inlineStr">
        <is>
          <t xml:space="preserve">Scope</t>
        </is>
      </c>
      <c r="C2" s="14" t="inlineStr">
        <is>
          <t xml:space="preserve">All Beta requirements have an owner and acceptance criteria</t>
        </is>
      </c>
      <c r="D2" s="14"/>
      <c r="E2" s="14" t="inlineStr">
        <is>
          <t xml:space="preserve">Yes</t>
        </is>
      </c>
      <c r="F2" s="14" t="inlineStr">
        <is>
          <t xml:space="preserve">Not Started</t>
        </is>
      </c>
      <c r="G2" s="14"/>
      <c r="H2" s="14"/>
    </row>
    <row r="3">
      <c r="A3" s="14" t="inlineStr">
        <is>
          <t xml:space="preserve">RC-002</t>
        </is>
      </c>
      <c r="B3" s="14" t="inlineStr">
        <is>
          <t xml:space="preserve">Scope</t>
        </is>
      </c>
      <c r="C3" s="14" t="inlineStr">
        <is>
          <t xml:space="preserve">Out-of-scope features are feature-flagged or inaccessible</t>
        </is>
      </c>
      <c r="D3" s="14"/>
      <c r="E3" s="14" t="inlineStr">
        <is>
          <t xml:space="preserve">Yes</t>
        </is>
      </c>
      <c r="F3" s="14" t="inlineStr">
        <is>
          <t xml:space="preserve">Not Started</t>
        </is>
      </c>
      <c r="G3" s="14"/>
      <c r="H3" s="14"/>
    </row>
    <row r="4">
      <c r="A4" s="14" t="inlineStr">
        <is>
          <t xml:space="preserve">RC-003</t>
        </is>
      </c>
      <c r="B4" s="14" t="inlineStr">
        <is>
          <t xml:space="preserve">QA</t>
        </is>
      </c>
      <c r="C4" s="14" t="inlineStr">
        <is>
          <t xml:space="preserve">All release-gate tests have passed</t>
        </is>
      </c>
      <c r="D4" s="14"/>
      <c r="E4" s="14" t="inlineStr">
        <is>
          <t xml:space="preserve">Yes</t>
        </is>
      </c>
      <c r="F4" s="14" t="inlineStr">
        <is>
          <t xml:space="preserve">Not Started</t>
        </is>
      </c>
      <c r="G4" s="14"/>
      <c r="H4" s="14"/>
    </row>
    <row r="5">
      <c r="A5" s="14" t="inlineStr">
        <is>
          <t xml:space="preserve">RC-004</t>
        </is>
      </c>
      <c r="B5" s="14" t="inlineStr">
        <is>
          <t xml:space="preserve">QA</t>
        </is>
      </c>
      <c r="C5" s="14" t="inlineStr">
        <is>
          <t xml:space="preserve">No open P0/Critical defects</t>
        </is>
      </c>
      <c r="D5" s="14"/>
      <c r="E5" s="14" t="inlineStr">
        <is>
          <t xml:space="preserve">Yes</t>
        </is>
      </c>
      <c r="F5" s="14" t="inlineStr">
        <is>
          <t xml:space="preserve">Not Started</t>
        </is>
      </c>
      <c r="G5" s="14"/>
      <c r="H5" s="14"/>
    </row>
    <row r="6">
      <c r="A6" s="14" t="inlineStr">
        <is>
          <t xml:space="preserve">RC-005</t>
        </is>
      </c>
      <c r="B6" s="14" t="inlineStr">
        <is>
          <t xml:space="preserve">QA</t>
        </is>
      </c>
      <c r="C6" s="14" t="inlineStr">
        <is>
          <t xml:space="preserve">Open P1/High defects have an accepted release decision</t>
        </is>
      </c>
      <c r="D6" s="14"/>
      <c r="E6" s="14" t="inlineStr">
        <is>
          <t xml:space="preserve">Yes</t>
        </is>
      </c>
      <c r="F6" s="14" t="inlineStr">
        <is>
          <t xml:space="preserve">Not Started</t>
        </is>
      </c>
      <c r="G6" s="14"/>
      <c r="H6" s="14"/>
    </row>
    <row r="7">
      <c r="A7" s="14" t="inlineStr">
        <is>
          <t xml:space="preserve">RC-006</t>
        </is>
      </c>
      <c r="B7" s="14" t="inlineStr">
        <is>
          <t xml:space="preserve">QA</t>
        </is>
      </c>
      <c r="C7" s="14" t="inlineStr">
        <is>
          <t xml:space="preserve">Regression suite completed on staging build</t>
        </is>
      </c>
      <c r="D7" s="14"/>
      <c r="E7" s="14" t="inlineStr">
        <is>
          <t xml:space="preserve">Yes</t>
        </is>
      </c>
      <c r="F7" s="14" t="inlineStr">
        <is>
          <t xml:space="preserve">Not Started</t>
        </is>
      </c>
      <c r="G7" s="14"/>
      <c r="H7" s="14"/>
    </row>
    <row r="8">
      <c r="A8" s="14" t="inlineStr">
        <is>
          <t xml:space="preserve">RC-007</t>
        </is>
      </c>
      <c r="B8" s="14" t="inlineStr">
        <is>
          <t xml:space="preserve">QA</t>
        </is>
      </c>
      <c r="C8" s="14" t="inlineStr">
        <is>
          <t xml:space="preserve">Production smoke-test plan is prepared</t>
        </is>
      </c>
      <c r="D8" s="14"/>
      <c r="E8" s="14" t="inlineStr">
        <is>
          <t xml:space="preserve">Yes</t>
        </is>
      </c>
      <c r="F8" s="14" t="inlineStr">
        <is>
          <t xml:space="preserve">Not Started</t>
        </is>
      </c>
      <c r="G8" s="14"/>
      <c r="H8" s="14"/>
    </row>
    <row r="9">
      <c r="A9" s="14" t="inlineStr">
        <is>
          <t xml:space="preserve">RC-008</t>
        </is>
      </c>
      <c r="B9" s="14" t="inlineStr">
        <is>
          <t xml:space="preserve">Authentication</t>
        </is>
      </c>
      <c r="C9" s="14" t="inlineStr">
        <is>
          <t xml:space="preserve">Registration, verification, sign-in and reset tested</t>
        </is>
      </c>
      <c r="D9" s="14"/>
      <c r="E9" s="14" t="inlineStr">
        <is>
          <t xml:space="preserve">Yes</t>
        </is>
      </c>
      <c r="F9" s="14" t="inlineStr">
        <is>
          <t xml:space="preserve">Not Started</t>
        </is>
      </c>
      <c r="G9" s="14"/>
      <c r="H9" s="14"/>
    </row>
    <row r="10">
      <c r="A10" s="14" t="inlineStr">
        <is>
          <t xml:space="preserve">RC-009</t>
        </is>
      </c>
      <c r="B10" s="14" t="inlineStr">
        <is>
          <t xml:space="preserve">Permissions</t>
        </is>
      </c>
      <c r="C10" s="14" t="inlineStr">
        <is>
          <t xml:space="preserve">Owner/Admin/Manager/Employee permission matrix verified</t>
        </is>
      </c>
      <c r="D10" s="14"/>
      <c r="E10" s="14" t="inlineStr">
        <is>
          <t xml:space="preserve">Yes</t>
        </is>
      </c>
      <c r="F10" s="14" t="inlineStr">
        <is>
          <t xml:space="preserve">Not Started</t>
        </is>
      </c>
      <c r="G10" s="14"/>
      <c r="H10" s="14"/>
    </row>
    <row r="11">
      <c r="A11" s="14" t="inlineStr">
        <is>
          <t xml:space="preserve">RC-010</t>
        </is>
      </c>
      <c r="B11" s="14" t="inlineStr">
        <is>
          <t xml:space="preserve">Tenancy</t>
        </is>
      </c>
      <c r="C11" s="14" t="inlineStr">
        <is>
          <t xml:space="preserve">Cross-organisation isolation tests passed</t>
        </is>
      </c>
      <c r="D11" s="14"/>
      <c r="E11" s="14" t="inlineStr">
        <is>
          <t xml:space="preserve">Yes</t>
        </is>
      </c>
      <c r="F11" s="14" t="inlineStr">
        <is>
          <t xml:space="preserve">Not Started</t>
        </is>
      </c>
      <c r="G11" s="14"/>
      <c r="H11" s="14"/>
    </row>
    <row r="12">
      <c r="A12" s="14" t="inlineStr">
        <is>
          <t xml:space="preserve">RC-011</t>
        </is>
      </c>
      <c r="B12" s="14" t="inlineStr">
        <is>
          <t xml:space="preserve">Rota</t>
        </is>
      </c>
      <c r="C12" s="14" t="inlineStr">
        <is>
          <t xml:space="preserve">Create, save, conflict, publish and change flows passed</t>
        </is>
      </c>
      <c r="D12" s="14"/>
      <c r="E12" s="14" t="inlineStr">
        <is>
          <t xml:space="preserve">Yes</t>
        </is>
      </c>
      <c r="F12" s="14" t="inlineStr">
        <is>
          <t xml:space="preserve">Not Started</t>
        </is>
      </c>
      <c r="G12" s="14"/>
      <c r="H12" s="14"/>
    </row>
    <row r="13">
      <c r="A13" s="14" t="inlineStr">
        <is>
          <t xml:space="preserve">RC-012</t>
        </is>
      </c>
      <c r="B13" s="14" t="inlineStr">
        <is>
          <t xml:space="preserve">Rota</t>
        </is>
      </c>
      <c r="C13" s="14" t="inlineStr">
        <is>
          <t xml:space="preserve">Overnight, split, break and to-close shifts passed</t>
        </is>
      </c>
      <c r="D13" s="14"/>
      <c r="E13" s="14" t="inlineStr">
        <is>
          <t xml:space="preserve">Yes</t>
        </is>
      </c>
      <c r="F13" s="14" t="inlineStr">
        <is>
          <t xml:space="preserve">Not Started</t>
        </is>
      </c>
      <c r="G13" s="14"/>
      <c r="H13" s="14"/>
    </row>
    <row r="14">
      <c r="A14" s="14" t="inlineStr">
        <is>
          <t xml:space="preserve">RC-013</t>
        </is>
      </c>
      <c r="B14" s="14" t="inlineStr">
        <is>
          <t xml:space="preserve">Rota</t>
        </is>
      </c>
      <c r="C14" s="14" t="inlineStr">
        <is>
          <t xml:space="preserve">Mobile employee list/day scrolling and overflow toolbar passed</t>
        </is>
      </c>
      <c r="D14" s="14"/>
      <c r="E14" s="14" t="inlineStr">
        <is>
          <t xml:space="preserve">Yes</t>
        </is>
      </c>
      <c r="F14" s="14" t="inlineStr">
        <is>
          <t xml:space="preserve">Not Started</t>
        </is>
      </c>
      <c r="G14" s="14"/>
      <c r="H14" s="14"/>
    </row>
    <row r="15">
      <c r="A15" s="14" t="inlineStr">
        <is>
          <t xml:space="preserve">RC-014</t>
        </is>
      </c>
      <c r="B15" s="14" t="inlineStr">
        <is>
          <t xml:space="preserve">Notifications</t>
        </is>
      </c>
      <c r="C15" s="14" t="inlineStr">
        <is>
          <t xml:space="preserve">Email and push publication/change delivery verified</t>
        </is>
      </c>
      <c r="D15" s="14"/>
      <c r="E15" s="14" t="inlineStr">
        <is>
          <t xml:space="preserve">Yes</t>
        </is>
      </c>
      <c r="F15" s="14" t="inlineStr">
        <is>
          <t xml:space="preserve">Not Started</t>
        </is>
      </c>
      <c r="G15" s="14"/>
      <c r="H15" s="14"/>
    </row>
    <row r="16">
      <c r="A16" s="14" t="inlineStr">
        <is>
          <t xml:space="preserve">RC-015</t>
        </is>
      </c>
      <c r="B16" s="14" t="inlineStr">
        <is>
          <t xml:space="preserve">Clock-in</t>
        </is>
      </c>
      <c r="C16" s="14" t="inlineStr">
        <is>
          <t xml:space="preserve">Valid NTAG 424 DNA tap and clock-in/out passed</t>
        </is>
      </c>
      <c r="D16" s="14"/>
      <c r="E16" s="14" t="inlineStr">
        <is>
          <t xml:space="preserve">Yes</t>
        </is>
      </c>
      <c r="F16" s="14" t="inlineStr">
        <is>
          <t xml:space="preserve">Not Started</t>
        </is>
      </c>
      <c r="G16" s="14"/>
      <c r="H16" s="14"/>
    </row>
    <row r="17">
      <c r="A17" s="14" t="inlineStr">
        <is>
          <t xml:space="preserve">RC-016</t>
        </is>
      </c>
      <c r="B17" s="14" t="inlineStr">
        <is>
          <t xml:space="preserve">Clock-in</t>
        </is>
      </c>
      <c r="C17" s="14" t="inlineStr">
        <is>
          <t xml:space="preserve">Replay, expiry, tamper and wrong-location tests passed</t>
        </is>
      </c>
      <c r="D17" s="14"/>
      <c r="E17" s="14" t="inlineStr">
        <is>
          <t xml:space="preserve">Yes</t>
        </is>
      </c>
      <c r="F17" s="14" t="inlineStr">
        <is>
          <t xml:space="preserve">Not Started</t>
        </is>
      </c>
      <c r="G17" s="14"/>
      <c r="H17" s="14"/>
    </row>
    <row r="18">
      <c r="A18" s="14" t="inlineStr">
        <is>
          <t xml:space="preserve">RC-017</t>
        </is>
      </c>
      <c r="B18" s="14" t="inlineStr">
        <is>
          <t xml:space="preserve">Clock-in</t>
        </is>
      </c>
      <c r="C18" s="14" t="inlineStr">
        <is>
          <t xml:space="preserve">Early/late/no-shift/manual override flows agreed and tested</t>
        </is>
      </c>
      <c r="D18" s="14"/>
      <c r="E18" s="14" t="inlineStr">
        <is>
          <t xml:space="preserve">Yes</t>
        </is>
      </c>
      <c r="F18" s="14" t="inlineStr">
        <is>
          <t xml:space="preserve">Not Started</t>
        </is>
      </c>
      <c r="G18" s="14"/>
      <c r="H18" s="14"/>
    </row>
    <row r="19">
      <c r="A19" s="14" t="inlineStr">
        <is>
          <t xml:space="preserve">RC-018</t>
        </is>
      </c>
      <c r="B19" s="14" t="inlineStr">
        <is>
          <t xml:space="preserve">Stations</t>
        </is>
      </c>
      <c r="C19" s="14" t="inlineStr">
        <is>
          <t xml:space="preserve">Activation, reassignment, cancellation and health status passed</t>
        </is>
      </c>
      <c r="D19" s="14"/>
      <c r="E19" s="14" t="inlineStr">
        <is>
          <t xml:space="preserve">Yes</t>
        </is>
      </c>
      <c r="F19" s="14" t="inlineStr">
        <is>
          <t xml:space="preserve">Not Started</t>
        </is>
      </c>
      <c r="G19" s="14"/>
      <c r="H19" s="14"/>
    </row>
    <row r="20">
      <c r="A20" s="14" t="inlineStr">
        <is>
          <t xml:space="preserve">RC-019</t>
        </is>
      </c>
      <c r="B20" s="14" t="inlineStr">
        <is>
          <t xml:space="preserve">Timesheets</t>
        </is>
      </c>
      <c r="C20" s="14" t="inlineStr">
        <is>
          <t xml:space="preserve">Scheduled vs actual, edits, approval and read-only mode passed</t>
        </is>
      </c>
      <c r="D20" s="14"/>
      <c r="E20" s="14" t="inlineStr">
        <is>
          <t xml:space="preserve">Yes</t>
        </is>
      </c>
      <c r="F20" s="14" t="inlineStr">
        <is>
          <t xml:space="preserve">Not Started</t>
        </is>
      </c>
      <c r="G20" s="14"/>
      <c r="H20" s="14"/>
    </row>
    <row r="21">
      <c r="A21" s="14" t="inlineStr">
        <is>
          <t xml:space="preserve">RC-020</t>
        </is>
      </c>
      <c r="B21" s="14" t="inlineStr">
        <is>
          <t xml:space="preserve">Billing</t>
        </is>
      </c>
      <c r="C21" s="14" t="inlineStr">
        <is>
          <t xml:space="preserve">Trial, conversion, cancellation and recovery tested in Stripe test mode</t>
        </is>
      </c>
      <c r="D21" s="14"/>
      <c r="E21" s="14" t="inlineStr">
        <is>
          <t xml:space="preserve">Yes</t>
        </is>
      </c>
      <c r="F21" s="14" t="inlineStr">
        <is>
          <t xml:space="preserve">Not Started</t>
        </is>
      </c>
      <c r="G21" s="14"/>
      <c r="H21" s="14"/>
    </row>
    <row r="22">
      <c r="A22" s="14" t="inlineStr">
        <is>
          <t xml:space="preserve">RC-021</t>
        </is>
      </c>
      <c r="B22" s="14" t="inlineStr">
        <is>
          <t xml:space="preserve">Billing</t>
        </is>
      </c>
      <c r="C22" s="14" t="inlineStr">
        <is>
          <t xml:space="preserve">Employee shift-based billing edge cases reconciled</t>
        </is>
      </c>
      <c r="D22" s="14"/>
      <c r="E22" s="14" t="inlineStr">
        <is>
          <t xml:space="preserve">Yes</t>
        </is>
      </c>
      <c r="F22" s="14" t="inlineStr">
        <is>
          <t xml:space="preserve">Not Started</t>
        </is>
      </c>
      <c r="G22" s="14"/>
      <c r="H22" s="14"/>
    </row>
    <row r="23">
      <c r="A23" s="14" t="inlineStr">
        <is>
          <t xml:space="preserve">RC-022</t>
        </is>
      </c>
      <c r="B23" s="14" t="inlineStr">
        <is>
          <t xml:space="preserve">Billing</t>
        </is>
      </c>
      <c r="C23" s="14" t="inlineStr">
        <is>
          <t xml:space="preserve">Mixed T&amp;A locations and station activation charging reconciled</t>
        </is>
      </c>
      <c r="D23" s="14"/>
      <c r="E23" s="14" t="inlineStr">
        <is>
          <t xml:space="preserve">Yes</t>
        </is>
      </c>
      <c r="F23" s="14" t="inlineStr">
        <is>
          <t xml:space="preserve">Not Started</t>
        </is>
      </c>
      <c r="G23" s="14"/>
      <c r="H23" s="14"/>
    </row>
    <row r="24">
      <c r="A24" s="14" t="inlineStr">
        <is>
          <t xml:space="preserve">RC-023</t>
        </is>
      </c>
      <c r="B24" s="14" t="inlineStr">
        <is>
          <t xml:space="preserve">Payroll</t>
        </is>
      </c>
      <c r="C24" s="14" t="inlineStr">
        <is>
          <t xml:space="preserve">Sage CSV mapping and missing reference handling verified</t>
        </is>
      </c>
      <c r="D24" s="14"/>
      <c r="E24" s="14" t="inlineStr">
        <is>
          <t xml:space="preserve">No</t>
        </is>
      </c>
      <c r="F24" s="14" t="inlineStr">
        <is>
          <t xml:space="preserve">Not Started</t>
        </is>
      </c>
      <c r="G24" s="14"/>
      <c r="H24" s="14"/>
    </row>
    <row r="25">
      <c r="A25" s="14" t="inlineStr">
        <is>
          <t xml:space="preserve">RC-025</t>
        </is>
      </c>
      <c r="B25" s="14" t="inlineStr">
        <is>
          <t xml:space="preserve">PWA</t>
        </is>
      </c>
      <c r="C25" s="14" t="inlineStr">
        <is>
          <t xml:space="preserve">Android install/update/notification deep links tested</t>
        </is>
      </c>
      <c r="D25" s="14"/>
      <c r="E25" s="14" t="inlineStr">
        <is>
          <t xml:space="preserve">Yes</t>
        </is>
      </c>
      <c r="F25" s="14" t="inlineStr">
        <is>
          <t xml:space="preserve">Not Started</t>
        </is>
      </c>
      <c r="G25" s="14"/>
      <c r="H25" s="14"/>
    </row>
    <row r="26">
      <c r="A26" s="14" t="inlineStr">
        <is>
          <t xml:space="preserve">RC-026</t>
        </is>
      </c>
      <c r="B26" s="14" t="inlineStr">
        <is>
          <t xml:space="preserve">PWA</t>
        </is>
      </c>
      <c r="C26" s="14" t="inlineStr">
        <is>
          <t xml:space="preserve">iOS home-screen install and push support tested on target iOS</t>
        </is>
      </c>
      <c r="D26" s="14"/>
      <c r="E26" s="14" t="inlineStr">
        <is>
          <t xml:space="preserve">Yes</t>
        </is>
      </c>
      <c r="F26" s="14" t="inlineStr">
        <is>
          <t xml:space="preserve">Not Started</t>
        </is>
      </c>
      <c r="G26" s="14"/>
      <c r="H26" s="14"/>
    </row>
    <row r="27">
      <c r="A27" s="14" t="inlineStr">
        <is>
          <t xml:space="preserve">RC-027</t>
        </is>
      </c>
      <c r="B27" s="14" t="inlineStr">
        <is>
          <t xml:space="preserve">PWA</t>
        </is>
      </c>
      <c r="C27" s="14" t="inlineStr">
        <is>
          <t xml:space="preserve">Offline and interrupted-save/clock scenarios tested</t>
        </is>
      </c>
      <c r="D27" s="14"/>
      <c r="E27" s="14" t="inlineStr">
        <is>
          <t xml:space="preserve">Yes</t>
        </is>
      </c>
      <c r="F27" s="14" t="inlineStr">
        <is>
          <t xml:space="preserve">Not Started</t>
        </is>
      </c>
      <c r="G27" s="14"/>
      <c r="H27" s="14"/>
    </row>
    <row r="28">
      <c r="A28" s="14" t="inlineStr">
        <is>
          <t xml:space="preserve">RC-028</t>
        </is>
      </c>
      <c r="B28" s="14" t="inlineStr">
        <is>
          <t xml:space="preserve">Accessibility</t>
        </is>
      </c>
      <c r="C28" s="14" t="inlineStr">
        <is>
          <t xml:space="preserve">Keyboard, screen reader, 200% zoom and contrast checks completed</t>
        </is>
      </c>
      <c r="D28" s="14"/>
      <c r="E28" s="14" t="inlineStr">
        <is>
          <t xml:space="preserve">Yes</t>
        </is>
      </c>
      <c r="F28" s="14" t="inlineStr">
        <is>
          <t xml:space="preserve">Not Started</t>
        </is>
      </c>
      <c r="G28" s="14"/>
      <c r="H28" s="14"/>
    </row>
    <row r="29">
      <c r="A29" s="14" t="inlineStr">
        <is>
          <t xml:space="preserve">RC-029</t>
        </is>
      </c>
      <c r="B29" s="14" t="inlineStr">
        <is>
          <t xml:space="preserve">Compatibility</t>
        </is>
      </c>
      <c r="C29" s="14" t="inlineStr">
        <is>
          <t xml:space="preserve">Chrome, Edge, Firefox and Safari smoke tests completed</t>
        </is>
      </c>
      <c r="D29" s="14"/>
      <c r="E29" s="14" t="inlineStr">
        <is>
          <t xml:space="preserve">Yes</t>
        </is>
      </c>
      <c r="F29" s="14" t="inlineStr">
        <is>
          <t xml:space="preserve">Not Started</t>
        </is>
      </c>
      <c r="G29" s="14"/>
      <c r="H29" s="14"/>
    </row>
    <row r="30">
      <c r="A30" s="14" t="inlineStr">
        <is>
          <t xml:space="preserve">RC-030</t>
        </is>
      </c>
      <c r="B30" s="14" t="inlineStr">
        <is>
          <t xml:space="preserve">Compatibility</t>
        </is>
      </c>
      <c r="C30" s="14" t="inlineStr">
        <is>
          <t xml:space="preserve">Target Android and iOS devices tested</t>
        </is>
      </c>
      <c r="D30" s="14"/>
      <c r="E30" s="14" t="inlineStr">
        <is>
          <t xml:space="preserve">Yes</t>
        </is>
      </c>
      <c r="F30" s="14" t="inlineStr">
        <is>
          <t xml:space="preserve">Not Started</t>
        </is>
      </c>
      <c r="G30" s="14"/>
      <c r="H30" s="14"/>
    </row>
    <row r="31">
      <c r="A31" s="14" t="inlineStr">
        <is>
          <t xml:space="preserve">RC-031</t>
        </is>
      </c>
      <c r="B31" s="14" t="inlineStr">
        <is>
          <t xml:space="preserve">Performance</t>
        </is>
      </c>
      <c r="C31" s="14" t="inlineStr">
        <is>
          <t xml:space="preserve">40-employee normal and 200-employee stress rotas meet target</t>
        </is>
      </c>
      <c r="D31" s="14"/>
      <c r="E31" s="14" t="inlineStr">
        <is>
          <t xml:space="preserve">Yes</t>
        </is>
      </c>
      <c r="F31" s="14" t="inlineStr">
        <is>
          <t xml:space="preserve">Not Started</t>
        </is>
      </c>
      <c r="G31" s="14"/>
      <c r="H31" s="14"/>
    </row>
    <row r="32">
      <c r="A32" s="14" t="inlineStr">
        <is>
          <t xml:space="preserve">RC-032</t>
        </is>
      </c>
      <c r="B32" s="14" t="inlineStr">
        <is>
          <t xml:space="preserve">Performance</t>
        </is>
      </c>
      <c r="C32" s="14" t="inlineStr">
        <is>
          <t xml:space="preserve">Large publish/notification and export tests meet target</t>
        </is>
      </c>
      <c r="D32" s="14"/>
      <c r="E32" s="14" t="inlineStr">
        <is>
          <t xml:space="preserve">Yes</t>
        </is>
      </c>
      <c r="F32" s="14" t="inlineStr">
        <is>
          <t xml:space="preserve">Not Started</t>
        </is>
      </c>
      <c r="G32" s="14"/>
      <c r="H32" s="14"/>
    </row>
    <row r="33">
      <c r="A33" s="14" t="inlineStr">
        <is>
          <t xml:space="preserve">RC-033</t>
        </is>
      </c>
      <c r="B33" s="14" t="inlineStr">
        <is>
          <t xml:space="preserve">Reliability</t>
        </is>
      </c>
      <c r="C33" s="14" t="inlineStr">
        <is>
          <t xml:space="preserve">Database/provider outage recovery tests completed</t>
        </is>
      </c>
      <c r="D33" s="14"/>
      <c r="E33" s="14" t="inlineStr">
        <is>
          <t xml:space="preserve">Yes</t>
        </is>
      </c>
      <c r="F33" s="14" t="inlineStr">
        <is>
          <t xml:space="preserve">Not Started</t>
        </is>
      </c>
      <c r="G33" s="14"/>
      <c r="H33" s="14"/>
    </row>
    <row r="34">
      <c r="A34" s="14" t="inlineStr">
        <is>
          <t xml:space="preserve">RC-034</t>
        </is>
      </c>
      <c r="B34" s="14" t="inlineStr">
        <is>
          <t xml:space="preserve">Security</t>
        </is>
      </c>
      <c r="C34" s="14" t="inlineStr">
        <is>
          <t xml:space="preserve">Security headers, CORS, rate limits and secret exposure reviewed</t>
        </is>
      </c>
      <c r="D34" s="14"/>
      <c r="E34" s="14" t="inlineStr">
        <is>
          <t xml:space="preserve">Yes</t>
        </is>
      </c>
      <c r="F34" s="14" t="inlineStr">
        <is>
          <t xml:space="preserve">Not Started</t>
        </is>
      </c>
      <c r="G34" s="14"/>
      <c r="H34" s="14"/>
    </row>
    <row r="35">
      <c r="A35" s="14" t="inlineStr">
        <is>
          <t xml:space="preserve">RC-035</t>
        </is>
      </c>
      <c r="B35" s="14" t="inlineStr">
        <is>
          <t xml:space="preserve">Security</t>
        </is>
      </c>
      <c r="C35" s="14" t="inlineStr">
        <is>
          <t xml:space="preserve">Dependency scan has no unaccepted critical/high vulnerabilities</t>
        </is>
      </c>
      <c r="D35" s="14"/>
      <c r="E35" s="14" t="inlineStr">
        <is>
          <t xml:space="preserve">Yes</t>
        </is>
      </c>
      <c r="F35" s="14" t="inlineStr">
        <is>
          <t xml:space="preserve">Not Started</t>
        </is>
      </c>
      <c r="G35" s="14"/>
      <c r="H35" s="14"/>
    </row>
    <row r="36">
      <c r="A36" s="14" t="inlineStr">
        <is>
          <t xml:space="preserve">RC-036</t>
        </is>
      </c>
      <c r="B36" s="14" t="inlineStr">
        <is>
          <t xml:space="preserve">Security</t>
        </is>
      </c>
      <c r="C36" s="14" t="inlineStr">
        <is>
          <t xml:space="preserve">Logs and error tracker contain no sensitive secrets/data</t>
        </is>
      </c>
      <c r="D36" s="14"/>
      <c r="E36" s="14" t="inlineStr">
        <is>
          <t xml:space="preserve">Yes</t>
        </is>
      </c>
      <c r="F36" s="14" t="inlineStr">
        <is>
          <t xml:space="preserve">Not Started</t>
        </is>
      </c>
      <c r="G36" s="14"/>
      <c r="H36" s="14"/>
    </row>
    <row r="37">
      <c r="A37" s="14" t="inlineStr">
        <is>
          <t xml:space="preserve">RC-037</t>
        </is>
      </c>
      <c r="B37" s="14" t="inlineStr">
        <is>
          <t xml:space="preserve">Data</t>
        </is>
      </c>
      <c r="C37" s="14" t="inlineStr">
        <is>
          <t xml:space="preserve">Backup completed and restore test evidenced</t>
        </is>
      </c>
      <c r="D37" s="14"/>
      <c r="E37" s="14" t="inlineStr">
        <is>
          <t xml:space="preserve">Yes</t>
        </is>
      </c>
      <c r="F37" s="14" t="inlineStr">
        <is>
          <t xml:space="preserve">Not Started</t>
        </is>
      </c>
      <c r="G37" s="14"/>
      <c r="H37" s="14"/>
    </row>
    <row r="38">
      <c r="A38" s="14" t="inlineStr">
        <is>
          <t xml:space="preserve">RC-038</t>
        </is>
      </c>
      <c r="B38" s="14" t="inlineStr">
        <is>
          <t xml:space="preserve">Data</t>
        </is>
      </c>
      <c r="C38" s="14" t="inlineStr">
        <is>
          <t xml:space="preserve">Deletion, export and retention behaviours documented</t>
        </is>
      </c>
      <c r="D38" s="14"/>
      <c r="E38" s="14" t="inlineStr">
        <is>
          <t xml:space="preserve">Yes</t>
        </is>
      </c>
      <c r="F38" s="14" t="inlineStr">
        <is>
          <t xml:space="preserve">Not Started</t>
        </is>
      </c>
      <c r="G38" s="14"/>
      <c r="H38" s="14"/>
    </row>
    <row r="39">
      <c r="A39" s="14" t="inlineStr">
        <is>
          <t xml:space="preserve">RC-039</t>
        </is>
      </c>
      <c r="B39" s="14" t="inlineStr">
        <is>
          <t xml:space="preserve">Deployment</t>
        </is>
      </c>
      <c r="C39" s="14" t="inlineStr">
        <is>
          <t xml:space="preserve">Production environment variables and trusted origins reviewed</t>
        </is>
      </c>
      <c r="D39" s="14"/>
      <c r="E39" s="14" t="inlineStr">
        <is>
          <t xml:space="preserve">Yes</t>
        </is>
      </c>
      <c r="F39" s="14" t="inlineStr">
        <is>
          <t xml:space="preserve">Not Started</t>
        </is>
      </c>
      <c r="G39" s="14"/>
      <c r="H39" s="14"/>
    </row>
    <row r="40">
      <c r="A40" s="14" t="inlineStr">
        <is>
          <t xml:space="preserve">RC-040</t>
        </is>
      </c>
      <c r="B40" s="14" t="inlineStr">
        <is>
          <t xml:space="preserve">Deployment</t>
        </is>
      </c>
      <c r="C40" s="14" t="inlineStr">
        <is>
          <t xml:space="preserve">Database migrations reviewed, backed up and reversible</t>
        </is>
      </c>
      <c r="D40" s="14"/>
      <c r="E40" s="14" t="inlineStr">
        <is>
          <t xml:space="preserve">Yes</t>
        </is>
      </c>
      <c r="F40" s="14" t="inlineStr">
        <is>
          <t xml:space="preserve">Not Started</t>
        </is>
      </c>
      <c r="G40" s="14"/>
      <c r="H40" s="14"/>
    </row>
    <row r="41">
      <c r="A41" s="14" t="inlineStr">
        <is>
          <t xml:space="preserve">RC-041</t>
        </is>
      </c>
      <c r="B41" s="14" t="inlineStr">
        <is>
          <t xml:space="preserve">Deployment</t>
        </is>
      </c>
      <c r="C41" s="14" t="inlineStr">
        <is>
          <t xml:space="preserve">rocketrota.com and configured subdomains have valid DNS/TLS</t>
        </is>
      </c>
      <c r="D41" s="14"/>
      <c r="E41" s="14" t="inlineStr">
        <is>
          <t xml:space="preserve">Yes</t>
        </is>
      </c>
      <c r="F41" s="14" t="inlineStr">
        <is>
          <t xml:space="preserve">Not Started</t>
        </is>
      </c>
      <c r="G41" s="14"/>
      <c r="H41" s="14"/>
    </row>
    <row r="42">
      <c r="A42" s="14" t="inlineStr">
        <is>
          <t xml:space="preserve">RC-042</t>
        </is>
      </c>
      <c r="B42" s="14" t="inlineStr">
        <is>
          <t xml:space="preserve">Deployment</t>
        </is>
      </c>
      <c r="C42" s="14" t="inlineStr">
        <is>
          <t xml:space="preserve">/clock route works externally over HTTPS</t>
        </is>
      </c>
      <c r="D42" s="14"/>
      <c r="E42" s="14" t="inlineStr">
        <is>
          <t xml:space="preserve">Yes</t>
        </is>
      </c>
      <c r="F42" s="14" t="inlineStr">
        <is>
          <t xml:space="preserve">Not Started</t>
        </is>
      </c>
      <c r="G42" s="14"/>
      <c r="H42" s="14"/>
    </row>
    <row r="43">
      <c r="A43" s="14" t="inlineStr">
        <is>
          <t xml:space="preserve">RC-043</t>
        </is>
      </c>
      <c r="B43" s="14" t="inlineStr">
        <is>
          <t xml:space="preserve">Deployment</t>
        </is>
      </c>
      <c r="C43" s="14" t="inlineStr">
        <is>
          <t xml:space="preserve">PWA manifest/icons/service worker use production assets</t>
        </is>
      </c>
      <c r="D43" s="14"/>
      <c r="E43" s="14" t="inlineStr">
        <is>
          <t xml:space="preserve">Yes</t>
        </is>
      </c>
      <c r="F43" s="14" t="inlineStr">
        <is>
          <t xml:space="preserve">Not Started</t>
        </is>
      </c>
      <c r="G43" s="14"/>
      <c r="H43" s="14"/>
    </row>
    <row r="44">
      <c r="A44" s="14" t="inlineStr">
        <is>
          <t xml:space="preserve">RC-044</t>
        </is>
      </c>
      <c r="B44" s="14" t="inlineStr">
        <is>
          <t xml:space="preserve">Monitoring</t>
        </is>
      </c>
      <c r="C44" s="14" t="inlineStr">
        <is>
          <t xml:space="preserve">Health, error, backup, certificate and billing alerts tested</t>
        </is>
      </c>
      <c r="D44" s="14"/>
      <c r="E44" s="14" t="inlineStr">
        <is>
          <t xml:space="preserve">Yes</t>
        </is>
      </c>
      <c r="F44" s="14" t="inlineStr">
        <is>
          <t xml:space="preserve">Not Started</t>
        </is>
      </c>
      <c r="G44" s="14"/>
      <c r="H44" s="14"/>
    </row>
    <row r="45">
      <c r="A45" s="14" t="inlineStr">
        <is>
          <t xml:space="preserve">RC-045</t>
        </is>
      </c>
      <c r="B45" s="14" t="inlineStr">
        <is>
          <t xml:space="preserve">Monitoring</t>
        </is>
      </c>
      <c r="C45" s="14" t="inlineStr">
        <is>
          <t xml:space="preserve">Release version and correlation IDs appear in monitoring</t>
        </is>
      </c>
      <c r="D45" s="14"/>
      <c r="E45" s="14" t="inlineStr">
        <is>
          <t xml:space="preserve">Yes</t>
        </is>
      </c>
      <c r="F45" s="14" t="inlineStr">
        <is>
          <t xml:space="preserve">Not Started</t>
        </is>
      </c>
      <c r="G45" s="14"/>
      <c r="H45" s="14"/>
    </row>
    <row r="46">
      <c r="A46" s="14" t="inlineStr">
        <is>
          <t xml:space="preserve">RC-046</t>
        </is>
      </c>
      <c r="B46" s="14" t="inlineStr">
        <is>
          <t xml:space="preserve">Operations</t>
        </is>
      </c>
      <c r="C46" s="14" t="inlineStr">
        <is>
          <t xml:space="preserve">Support/admin impersonation and audit controls reviewed</t>
        </is>
      </c>
      <c r="D46" s="14"/>
      <c r="E46" s="14" t="inlineStr">
        <is>
          <t xml:space="preserve">Yes</t>
        </is>
      </c>
      <c r="F46" s="14" t="inlineStr">
        <is>
          <t xml:space="preserve">Not Started</t>
        </is>
      </c>
      <c r="G46" s="14"/>
      <c r="H46" s="14"/>
    </row>
    <row r="47">
      <c r="A47" s="14" t="inlineStr">
        <is>
          <t xml:space="preserve">RC-047</t>
        </is>
      </c>
      <c r="B47" s="14" t="inlineStr">
        <is>
          <t xml:space="preserve">Operations</t>
        </is>
      </c>
      <c r="C47" s="14" t="inlineStr">
        <is>
          <t xml:space="preserve">Incident rollback and customer communication plan exists</t>
        </is>
      </c>
      <c r="D47" s="14"/>
      <c r="E47" s="14" t="inlineStr">
        <is>
          <t xml:space="preserve">Yes</t>
        </is>
      </c>
      <c r="F47" s="14" t="inlineStr">
        <is>
          <t xml:space="preserve">Not Started</t>
        </is>
      </c>
      <c r="G47" s="14"/>
      <c r="H47" s="14"/>
    </row>
    <row r="48">
      <c r="A48" s="14" t="inlineStr">
        <is>
          <t xml:space="preserve">RC-048</t>
        </is>
      </c>
      <c r="B48" s="14" t="inlineStr">
        <is>
          <t xml:space="preserve">Legal</t>
        </is>
      </c>
      <c r="C48" s="14" t="inlineStr">
        <is>
          <t xml:space="preserve">Privacy, terms and cookie requirements reviewed for launch</t>
        </is>
      </c>
      <c r="D48" s="14"/>
      <c r="E48" s="14" t="inlineStr">
        <is>
          <t xml:space="preserve">Yes</t>
        </is>
      </c>
      <c r="F48" s="14" t="inlineStr">
        <is>
          <t xml:space="preserve">Not Started</t>
        </is>
      </c>
      <c r="G48" s="14"/>
      <c r="H48" s="14"/>
    </row>
    <row r="49">
      <c r="A49" s="14" t="inlineStr">
        <is>
          <t xml:space="preserve">RC-049</t>
        </is>
      </c>
      <c r="B49" s="14" t="inlineStr">
        <is>
          <t xml:space="preserve">Email</t>
        </is>
      </c>
      <c r="C49" s="14" t="inlineStr">
        <is>
          <t xml:space="preserve">Production sending domain, SPF/DKIM/DMARC and suppression handling verified</t>
        </is>
      </c>
      <c r="D49" s="14"/>
      <c r="E49" s="14" t="inlineStr">
        <is>
          <t xml:space="preserve">Yes</t>
        </is>
      </c>
      <c r="F49" s="14" t="inlineStr">
        <is>
          <t xml:space="preserve">Not Started</t>
        </is>
      </c>
      <c r="G49" s="14"/>
      <c r="H49" s="14"/>
    </row>
    <row r="50">
      <c r="A50" s="14" t="inlineStr">
        <is>
          <t xml:space="preserve">RC-050</t>
        </is>
      </c>
      <c r="B50" s="14" t="inlineStr">
        <is>
          <t xml:space="preserve">Release</t>
        </is>
      </c>
      <c r="C50" s="14" t="inlineStr">
        <is>
          <t xml:space="preserve">Owner gives explicit go/no-go approval</t>
        </is>
      </c>
      <c r="D50" s="14"/>
      <c r="E50" s="14" t="inlineStr">
        <is>
          <t xml:space="preserve">Yes</t>
        </is>
      </c>
      <c r="F50" s="14" t="inlineStr">
        <is>
          <t xml:space="preserve">Not Started</t>
        </is>
      </c>
      <c r="G50" s="14"/>
      <c r="H50" s="14"/>
    </row>
    <row r="51">
      <c r="A51" s="14" t="inlineStr">
        <is>
          <t xml:space="preserve">RC-051</t>
        </is>
      </c>
      <c r="B51" s="14" t="inlineStr">
        <is>
          <t xml:space="preserve">Performance</t>
        </is>
      </c>
      <c r="C51" s="14" t="inlineStr">
        <is>
          <t xml:space="preserve">OnePlus Nord 4 cold launch, idle resume and core page navigation measured against documented budgets</t>
        </is>
      </c>
      <c r="D51" s="14"/>
      <c r="E51" s="14" t="inlineStr">
        <is>
          <t xml:space="preserve">Yes</t>
        </is>
      </c>
      <c r="F51" s="14" t="inlineStr">
        <is>
          <t xml:space="preserve">Not Started</t>
        </is>
      </c>
      <c r="G51" s="14"/>
      <c r="H51" s="14" t="inlineStr">
        <is>
          <t xml:space="preserve">Record build, network, OS, browser and five-run timings.</t>
        </is>
      </c>
    </row>
    <row r="52">
      <c r="A52" s="14" t="inlineStr">
        <is>
          <t xml:space="preserve">RC-052</t>
        </is>
      </c>
      <c r="B52" s="14" t="inlineStr">
        <is>
          <t xml:space="preserve">Dashboard</t>
        </is>
      </c>
      <c r="C52" s="14" t="inlineStr">
        <is>
          <t xml:space="preserve">Manager actions and team filters verified at 320, 348, 360 and 390 CSS pixels</t>
        </is>
      </c>
      <c r="D52" s="14"/>
      <c r="E52" s="14" t="inlineStr">
        <is>
          <t xml:space="preserve">Yes</t>
        </is>
      </c>
      <c r="F52" s="14" t="inlineStr">
        <is>
          <t xml:space="preserve">Not Started</t>
        </is>
      </c>
      <c r="G52" s="14"/>
      <c r="H52" s="14" t="inlineStr">
        <is>
          <t xml:space="preserve">Deploy the mobile layout change before running these checks.</t>
        </is>
      </c>
    </row>
  </sheetData>
  <conditionalFormatting sqref="F2:F52">
    <cfRule type="expression" dxfId="15" priority="1">
      <formula>F2="Passed"</formula>
    </cfRule>
    <cfRule type="expression" dxfId="16" priority="2">
      <formula>F2="Failed"</formula>
    </cfRule>
    <cfRule type="expression" dxfId="17" priority="3">
      <formula>F2="Blocked"</formula>
    </cfRule>
    <cfRule type="expression" dxfId="18" priority="4">
      <formula>F2="In Progress"</formula>
    </cfRule>
  </conditionalFormatting>
  <dataValidations count="2">
    <dataValidation type="list" sqref="E2:E52">
      <formula1>"Yes,No"</formula1>
    </dataValidation>
    <dataValidation type="list" sqref="F2:F52">
      <formula1>"Not Started,In Progress,Passed,Failed,Blocked,Not Applicable"</formula1>
    </dataValidation>
  </dataValidations>
  <pageMargins left="0.7" right="0.7" top="0.75" bottom="0.75" header="0.3" footer="0.3"/>
  <tableParts count="1">
    <tablePart r:id="Radc0432ee12a4f9a"/>
  </tableParts>
</worksheet>
</file>

<file path=xl/worksheets/sheet8.xml><?xml version="1.0" encoding="utf-8"?>
<worksheet xmlns="http://schemas.openxmlformats.org/spreadsheetml/2006/main" xmlns:r="http://schemas.openxmlformats.org/officeDocument/2006/relationships">
  <sheetFormatPr defaultRowHeight="15"/>
  <cols>
    <col min="1" max="1" width="11" hidden="0" customWidth="1"/>
    <col min="2" max="2" width="18" hidden="0" customWidth="1"/>
    <col min="3" max="3" width="16" hidden="0" customWidth="1"/>
    <col min="4" max="4" width="21" hidden="0" customWidth="1"/>
    <col min="5" max="5" width="20" hidden="0" customWidth="1"/>
    <col min="6" max="6" width="18" hidden="0" customWidth="1"/>
    <col min="7" max="7" width="12" hidden="0" customWidth="1"/>
    <col min="8" max="8" width="30" hidden="0" customWidth="1"/>
    <col min="9" max="9" width="17" hidden="0" customWidth="1"/>
    <col min="10" max="10" width="14" hidden="0" customWidth="1"/>
    <col min="11" max="11" width="14" hidden="0" customWidth="1"/>
    <col min="12" max="12" width="30" hidden="0" customWidth="1"/>
  </cols>
  <sheetData>
    <row r="1" ht="34" customHeight="1">
      <c r="A1" s="6" t="inlineStr">
        <is>
          <t xml:space="preserve">Env ID</t>
        </is>
      </c>
      <c r="B1" s="6" t="inlineStr">
        <is>
          <t xml:space="preserve">Environment</t>
        </is>
      </c>
      <c r="C1" s="6" t="inlineStr">
        <is>
          <t xml:space="preserve">Platform</t>
        </is>
      </c>
      <c r="D1" s="6" t="inlineStr">
        <is>
          <t xml:space="preserve">Device / Viewport</t>
        </is>
      </c>
      <c r="E1" s="6" t="inlineStr">
        <is>
          <t xml:space="preserve">Browser</t>
        </is>
      </c>
      <c r="F1" s="6" t="inlineStr">
        <is>
          <t xml:space="preserve">OS</t>
        </is>
      </c>
      <c r="G1" s="6" t="inlineStr">
        <is>
          <t xml:space="preserve">Priority</t>
        </is>
      </c>
      <c r="H1" s="6" t="inlineStr">
        <is>
          <t xml:space="preserve">Required Coverage</t>
        </is>
      </c>
      <c r="I1" s="6" t="inlineStr">
        <is>
          <t xml:space="preserve">Owner</t>
        </is>
      </c>
      <c r="J1" s="6" t="inlineStr">
        <is>
          <t xml:space="preserve">Last Tested</t>
        </is>
      </c>
      <c r="K1" s="6" t="inlineStr">
        <is>
          <t xml:space="preserve">Status</t>
        </is>
      </c>
      <c r="L1" s="6" t="inlineStr">
        <is>
          <t xml:space="preserve">Notes</t>
        </is>
      </c>
    </row>
    <row r="2">
      <c r="A2" s="14" t="inlineStr">
        <is>
          <t xml:space="preserve">ENV-01</t>
        </is>
      </c>
      <c r="B2" s="14" t="inlineStr">
        <is>
          <t xml:space="preserve">Development</t>
        </is>
      </c>
      <c r="C2" s="14" t="inlineStr">
        <is>
          <t xml:space="preserve">Desktop</t>
        </is>
      </c>
      <c r="D2" s="14" t="inlineStr">
        <is>
          <t xml:space="preserve">1920×1080</t>
        </is>
      </c>
      <c r="E2" s="14" t="inlineStr">
        <is>
          <t xml:space="preserve">Chrome latest</t>
        </is>
      </c>
      <c r="F2" s="14" t="inlineStr">
        <is>
          <t xml:space="preserve">Windows 11</t>
        </is>
      </c>
      <c r="G2" s="14" t="inlineStr">
        <is>
          <t xml:space="preserve">High</t>
        </is>
      </c>
      <c r="H2" s="14" t="inlineStr">
        <is>
          <t xml:space="preserve">Core regression</t>
        </is>
      </c>
      <c r="I2" s="14"/>
      <c r="J2" s="17"/>
      <c r="K2" s="14" t="inlineStr">
        <is>
          <t xml:space="preserve">Not Tested</t>
        </is>
      </c>
      <c r="L2" s="14"/>
    </row>
    <row r="3">
      <c r="A3" s="14" t="inlineStr">
        <is>
          <t xml:space="preserve">ENV-02</t>
        </is>
      </c>
      <c r="B3" s="14" t="inlineStr">
        <is>
          <t xml:space="preserve">Staging</t>
        </is>
      </c>
      <c r="C3" s="14" t="inlineStr">
        <is>
          <t xml:space="preserve">Desktop</t>
        </is>
      </c>
      <c r="D3" s="14" t="inlineStr">
        <is>
          <t xml:space="preserve">1440×900</t>
        </is>
      </c>
      <c r="E3" s="14" t="inlineStr">
        <is>
          <t xml:space="preserve">Chrome latest</t>
        </is>
      </c>
      <c r="F3" s="14" t="inlineStr">
        <is>
          <t xml:space="preserve">macOS</t>
        </is>
      </c>
      <c r="G3" s="14" t="inlineStr">
        <is>
          <t xml:space="preserve">High</t>
        </is>
      </c>
      <c r="H3" s="14" t="inlineStr">
        <is>
          <t xml:space="preserve">Core regression</t>
        </is>
      </c>
      <c r="I3" s="14"/>
      <c r="J3" s="17"/>
      <c r="K3" s="14" t="inlineStr">
        <is>
          <t xml:space="preserve">Not Tested</t>
        </is>
      </c>
      <c r="L3" s="14"/>
    </row>
    <row r="4">
      <c r="A4" s="14" t="inlineStr">
        <is>
          <t xml:space="preserve">ENV-03</t>
        </is>
      </c>
      <c r="B4" s="14" t="inlineStr">
        <is>
          <t xml:space="preserve">Staging</t>
        </is>
      </c>
      <c r="C4" s="14" t="inlineStr">
        <is>
          <t xml:space="preserve">Desktop</t>
        </is>
      </c>
      <c r="D4" s="14" t="inlineStr">
        <is>
          <t xml:space="preserve">1366×768</t>
        </is>
      </c>
      <c r="E4" s="14" t="inlineStr">
        <is>
          <t xml:space="preserve">Edge latest</t>
        </is>
      </c>
      <c r="F4" s="14" t="inlineStr">
        <is>
          <t xml:space="preserve">Windows 11</t>
        </is>
      </c>
      <c r="G4" s="14" t="inlineStr">
        <is>
          <t xml:space="preserve">High</t>
        </is>
      </c>
      <c r="H4" s="14" t="inlineStr">
        <is>
          <t xml:space="preserve">Smoke/regression</t>
        </is>
      </c>
      <c r="I4" s="14"/>
      <c r="J4" s="17"/>
      <c r="K4" s="14" t="inlineStr">
        <is>
          <t xml:space="preserve">Not Tested</t>
        </is>
      </c>
      <c r="L4" s="14"/>
    </row>
    <row r="5">
      <c r="A5" s="14" t="inlineStr">
        <is>
          <t xml:space="preserve">ENV-04</t>
        </is>
      </c>
      <c r="B5" s="14" t="inlineStr">
        <is>
          <t xml:space="preserve">Staging</t>
        </is>
      </c>
      <c r="C5" s="14" t="inlineStr">
        <is>
          <t xml:space="preserve">Desktop</t>
        </is>
      </c>
      <c r="D5" s="14" t="inlineStr">
        <is>
          <t xml:space="preserve">1440×900</t>
        </is>
      </c>
      <c r="E5" s="14" t="inlineStr">
        <is>
          <t xml:space="preserve">Firefox latest</t>
        </is>
      </c>
      <c r="F5" s="14" t="inlineStr">
        <is>
          <t xml:space="preserve">Windows/macOS</t>
        </is>
      </c>
      <c r="G5" s="14" t="inlineStr">
        <is>
          <t xml:space="preserve">Medium</t>
        </is>
      </c>
      <c r="H5" s="14" t="inlineStr">
        <is>
          <t xml:space="preserve">Smoke</t>
        </is>
      </c>
      <c r="I5" s="14"/>
      <c r="J5" s="17"/>
      <c r="K5" s="14" t="inlineStr">
        <is>
          <t xml:space="preserve">Not Tested</t>
        </is>
      </c>
      <c r="L5" s="14"/>
    </row>
    <row r="6">
      <c r="A6" s="14" t="inlineStr">
        <is>
          <t xml:space="preserve">ENV-05</t>
        </is>
      </c>
      <c r="B6" s="14" t="inlineStr">
        <is>
          <t xml:space="preserve">Staging</t>
        </is>
      </c>
      <c r="C6" s="14" t="inlineStr">
        <is>
          <t xml:space="preserve">Desktop</t>
        </is>
      </c>
      <c r="D6" s="14" t="inlineStr">
        <is>
          <t xml:space="preserve">1440×900</t>
        </is>
      </c>
      <c r="E6" s="14" t="inlineStr">
        <is>
          <t xml:space="preserve">Safari latest</t>
        </is>
      </c>
      <c r="F6" s="14" t="inlineStr">
        <is>
          <t xml:space="preserve">macOS</t>
        </is>
      </c>
      <c r="G6" s="14" t="inlineStr">
        <is>
          <t xml:space="preserve">High</t>
        </is>
      </c>
      <c r="H6" s="14" t="inlineStr">
        <is>
          <t xml:space="preserve">Smoke/PWA web</t>
        </is>
      </c>
      <c r="I6" s="14"/>
      <c r="J6" s="17"/>
      <c r="K6" s="14" t="inlineStr">
        <is>
          <t xml:space="preserve">Not Tested</t>
        </is>
      </c>
      <c r="L6" s="14"/>
    </row>
    <row r="7">
      <c r="A7" s="14" t="inlineStr">
        <is>
          <t xml:space="preserve">ENV-06</t>
        </is>
      </c>
      <c r="B7" s="14" t="inlineStr">
        <is>
          <t xml:space="preserve">Staging</t>
        </is>
      </c>
      <c r="C7" s="14" t="inlineStr">
        <is>
          <t xml:space="preserve">Mobile</t>
        </is>
      </c>
      <c r="D7" s="14" t="inlineStr">
        <is>
          <t xml:space="preserve">390×844</t>
        </is>
      </c>
      <c r="E7" s="14" t="inlineStr">
        <is>
          <t xml:space="preserve">Safari/PWA</t>
        </is>
      </c>
      <c r="F7" s="14" t="inlineStr">
        <is>
          <t xml:space="preserve">Current iOS</t>
        </is>
      </c>
      <c r="G7" s="14" t="inlineStr">
        <is>
          <t xml:space="preserve">Critical</t>
        </is>
      </c>
      <c r="H7" s="14" t="inlineStr">
        <is>
          <t xml:space="preserve">Employee app, push, clock</t>
        </is>
      </c>
      <c r="I7" s="14"/>
      <c r="J7" s="17"/>
      <c r="K7" s="14" t="inlineStr">
        <is>
          <t xml:space="preserve">Not Tested</t>
        </is>
      </c>
      <c r="L7" s="14"/>
    </row>
    <row r="8">
      <c r="A8" s="14" t="inlineStr">
        <is>
          <t xml:space="preserve">ENV-07</t>
        </is>
      </c>
      <c r="B8" s="14" t="inlineStr">
        <is>
          <t xml:space="preserve">Staging</t>
        </is>
      </c>
      <c r="C8" s="14" t="inlineStr">
        <is>
          <t xml:space="preserve">Mobile</t>
        </is>
      </c>
      <c r="D8" s="14" t="inlineStr">
        <is>
          <t xml:space="preserve">375×812</t>
        </is>
      </c>
      <c r="E8" s="14" t="inlineStr">
        <is>
          <t xml:space="preserve">Safari/PWA</t>
        </is>
      </c>
      <c r="F8" s="14" t="inlineStr">
        <is>
          <t xml:space="preserve">Previous iOS</t>
        </is>
      </c>
      <c r="G8" s="14" t="inlineStr">
        <is>
          <t xml:space="preserve">High</t>
        </is>
      </c>
      <c r="H8" s="14" t="inlineStr">
        <is>
          <t xml:space="preserve">Employee app, clock</t>
        </is>
      </c>
      <c r="I8" s="14"/>
      <c r="J8" s="17"/>
      <c r="K8" s="14" t="inlineStr">
        <is>
          <t xml:space="preserve">Not Tested</t>
        </is>
      </c>
      <c r="L8" s="14"/>
    </row>
    <row r="9">
      <c r="A9" s="14" t="inlineStr">
        <is>
          <t xml:space="preserve">ENV-08</t>
        </is>
      </c>
      <c r="B9" s="14" t="inlineStr">
        <is>
          <t xml:space="preserve">Staging</t>
        </is>
      </c>
      <c r="C9" s="14" t="inlineStr">
        <is>
          <t xml:space="preserve">Mobile</t>
        </is>
      </c>
      <c r="D9" s="14" t="inlineStr">
        <is>
          <t xml:space="preserve">412×915</t>
        </is>
      </c>
      <c r="E9" s="14" t="inlineStr">
        <is>
          <t xml:space="preserve">Chrome/PWA</t>
        </is>
      </c>
      <c r="F9" s="14" t="inlineStr">
        <is>
          <t xml:space="preserve">Android 16</t>
        </is>
      </c>
      <c r="G9" s="14" t="inlineStr">
        <is>
          <t xml:space="preserve">Critical</t>
        </is>
      </c>
      <c r="H9" s="14" t="inlineStr">
        <is>
          <t xml:space="preserve">Full mobile/PWA/clock</t>
        </is>
      </c>
      <c r="I9" s="14"/>
      <c r="J9" s="17"/>
      <c r="K9" s="14" t="inlineStr">
        <is>
          <t xml:space="preserve">Not Tested</t>
        </is>
      </c>
      <c r="L9" s="14"/>
    </row>
    <row r="10">
      <c r="A10" s="14" t="inlineStr">
        <is>
          <t xml:space="preserve">ENV-09</t>
        </is>
      </c>
      <c r="B10" s="14" t="inlineStr">
        <is>
          <t xml:space="preserve">Staging</t>
        </is>
      </c>
      <c r="C10" s="14" t="inlineStr">
        <is>
          <t xml:space="preserve">Mobile</t>
        </is>
      </c>
      <c r="D10" s="14" t="inlineStr">
        <is>
          <t xml:space="preserve">360×800</t>
        </is>
      </c>
      <c r="E10" s="14" t="inlineStr">
        <is>
          <t xml:space="preserve">Chrome/PWA</t>
        </is>
      </c>
      <c r="F10" s="14" t="inlineStr">
        <is>
          <t xml:space="preserve">Android 14/15</t>
        </is>
      </c>
      <c r="G10" s="14" t="inlineStr">
        <is>
          <t xml:space="preserve">High</t>
        </is>
      </c>
      <c r="H10" s="14" t="inlineStr">
        <is>
          <t xml:space="preserve">Low-width regression</t>
        </is>
      </c>
      <c r="I10" s="14"/>
      <c r="J10" s="17"/>
      <c r="K10" s="14" t="inlineStr">
        <is>
          <t xml:space="preserve">Not Tested</t>
        </is>
      </c>
      <c r="L10" s="14"/>
    </row>
    <row r="11">
      <c r="A11" s="14" t="inlineStr">
        <is>
          <t xml:space="preserve">ENV-10</t>
        </is>
      </c>
      <c r="B11" s="14" t="inlineStr">
        <is>
          <t xml:space="preserve">Staging</t>
        </is>
      </c>
      <c r="C11" s="14" t="inlineStr">
        <is>
          <t xml:space="preserve">Tablet</t>
        </is>
      </c>
      <c r="D11" s="14" t="inlineStr">
        <is>
          <t xml:space="preserve">768×1024</t>
        </is>
      </c>
      <c r="E11" s="14" t="inlineStr">
        <is>
          <t xml:space="preserve">Safari</t>
        </is>
      </c>
      <c r="F11" s="14" t="inlineStr">
        <is>
          <t xml:space="preserve">iPadOS</t>
        </is>
      </c>
      <c r="G11" s="14" t="inlineStr">
        <is>
          <t xml:space="preserve">Medium</t>
        </is>
      </c>
      <c r="H11" s="14" t="inlineStr">
        <is>
          <t xml:space="preserve">Manager rota/dashboard</t>
        </is>
      </c>
      <c r="I11" s="14"/>
      <c r="J11" s="17"/>
      <c r="K11" s="14" t="inlineStr">
        <is>
          <t xml:space="preserve">Not Tested</t>
        </is>
      </c>
      <c r="L11" s="14"/>
    </row>
    <row r="12">
      <c r="A12" s="14" t="inlineStr">
        <is>
          <t xml:space="preserve">ENV-11</t>
        </is>
      </c>
      <c r="B12" s="14" t="inlineStr">
        <is>
          <t xml:space="preserve">Staging</t>
        </is>
      </c>
      <c r="C12" s="14" t="inlineStr">
        <is>
          <t xml:space="preserve">Tablet</t>
        </is>
      </c>
      <c r="D12" s="14" t="inlineStr">
        <is>
          <t xml:space="preserve">800×1280</t>
        </is>
      </c>
      <c r="E12" s="14" t="inlineStr">
        <is>
          <t xml:space="preserve">Chrome</t>
        </is>
      </c>
      <c r="F12" s="14" t="inlineStr">
        <is>
          <t xml:space="preserve">Android</t>
        </is>
      </c>
      <c r="G12" s="14" t="inlineStr">
        <is>
          <t xml:space="preserve">Medium</t>
        </is>
      </c>
      <c r="H12" s="14" t="inlineStr">
        <is>
          <t xml:space="preserve">Manager rota/dashboard</t>
        </is>
      </c>
      <c r="I12" s="14"/>
      <c r="J12" s="17"/>
      <c r="K12" s="14" t="inlineStr">
        <is>
          <t xml:space="preserve">Not Tested</t>
        </is>
      </c>
      <c r="L12" s="14"/>
    </row>
    <row r="13">
      <c r="A13" s="14" t="inlineStr">
        <is>
          <t xml:space="preserve">ENV-12</t>
        </is>
      </c>
      <c r="B13" s="14" t="inlineStr">
        <is>
          <t xml:space="preserve">Staging</t>
        </is>
      </c>
      <c r="C13" s="14" t="inlineStr">
        <is>
          <t xml:space="preserve">Clock station</t>
        </is>
      </c>
      <c r="D13" s="14" t="inlineStr">
        <is>
          <t xml:space="preserve">NFC tap device</t>
        </is>
      </c>
      <c r="E13" s="14" t="inlineStr">
        <is>
          <t xml:space="preserve">Chrome/Safari</t>
        </is>
      </c>
      <c r="F13" s="14" t="inlineStr">
        <is>
          <t xml:space="preserve">Android/iOS</t>
        </is>
      </c>
      <c r="G13" s="14" t="inlineStr">
        <is>
          <t xml:space="preserve">Critical</t>
        </is>
      </c>
      <c r="H13" s="14" t="inlineStr">
        <is>
          <t xml:space="preserve">NTAG 424 DNA full flow</t>
        </is>
      </c>
      <c r="I13" s="14"/>
      <c r="J13" s="17"/>
      <c r="K13" s="14" t="inlineStr">
        <is>
          <t xml:space="preserve">Not Tested</t>
        </is>
      </c>
      <c r="L13" s="14"/>
    </row>
    <row r="14">
      <c r="A14" s="14" t="inlineStr">
        <is>
          <t xml:space="preserve">ENV-13</t>
        </is>
      </c>
      <c r="B14" s="14" t="inlineStr">
        <is>
          <t xml:space="preserve">Staging</t>
        </is>
      </c>
      <c r="C14" s="14" t="inlineStr">
        <is>
          <t xml:space="preserve">Network</t>
        </is>
      </c>
      <c r="D14" s="14" t="inlineStr">
        <is>
          <t xml:space="preserve">Fast 4G/Wi-Fi</t>
        </is>
      </c>
      <c r="E14" s="14" t="inlineStr">
        <is>
          <t xml:space="preserve">All</t>
        </is>
      </c>
      <c r="F14" s="14" t="inlineStr">
        <is>
          <t xml:space="preserve">All</t>
        </is>
      </c>
      <c r="G14" s="14" t="inlineStr">
        <is>
          <t xml:space="preserve">High</t>
        </is>
      </c>
      <c r="H14" s="14" t="inlineStr">
        <is>
          <t xml:space="preserve">Normal performance</t>
        </is>
      </c>
      <c r="I14" s="14"/>
      <c r="J14" s="17"/>
      <c r="K14" s="14" t="inlineStr">
        <is>
          <t xml:space="preserve">Not Tested</t>
        </is>
      </c>
      <c r="L14" s="14"/>
    </row>
    <row r="15">
      <c r="A15" s="14" t="inlineStr">
        <is>
          <t xml:space="preserve">ENV-14</t>
        </is>
      </c>
      <c r="B15" s="14" t="inlineStr">
        <is>
          <t xml:space="preserve">Staging</t>
        </is>
      </c>
      <c r="C15" s="14" t="inlineStr">
        <is>
          <t xml:space="preserve">Network</t>
        </is>
      </c>
      <c r="D15" s="14" t="inlineStr">
        <is>
          <t xml:space="preserve">Slow 3G/high latency</t>
        </is>
      </c>
      <c r="E15" s="14" t="inlineStr">
        <is>
          <t xml:space="preserve">Chrome/Safari</t>
        </is>
      </c>
      <c r="F15" s="14" t="inlineStr">
        <is>
          <t xml:space="preserve">Mobile</t>
        </is>
      </c>
      <c r="G15" s="14" t="inlineStr">
        <is>
          <t xml:space="preserve">High</t>
        </is>
      </c>
      <c r="H15" s="14" t="inlineStr">
        <is>
          <t xml:space="preserve">Loading/idempotency</t>
        </is>
      </c>
      <c r="I15" s="14"/>
      <c r="J15" s="17"/>
      <c r="K15" s="14" t="inlineStr">
        <is>
          <t xml:space="preserve">Not Tested</t>
        </is>
      </c>
      <c r="L15" s="14"/>
    </row>
    <row r="16">
      <c r="A16" s="14" t="inlineStr">
        <is>
          <t xml:space="preserve">ENV-15</t>
        </is>
      </c>
      <c r="B16" s="14" t="inlineStr">
        <is>
          <t xml:space="preserve">Staging</t>
        </is>
      </c>
      <c r="C16" s="14" t="inlineStr">
        <is>
          <t xml:space="preserve">Network</t>
        </is>
      </c>
      <c r="D16" s="14" t="inlineStr">
        <is>
          <t xml:space="preserve">Offline/interrupted</t>
        </is>
      </c>
      <c r="E16" s="14" t="inlineStr">
        <is>
          <t xml:space="preserve">Chrome/Safari PWA</t>
        </is>
      </c>
      <c r="F16" s="14" t="inlineStr">
        <is>
          <t xml:space="preserve">Mobile</t>
        </is>
      </c>
      <c r="G16" s="14" t="inlineStr">
        <is>
          <t xml:space="preserve">Critical</t>
        </is>
      </c>
      <c r="H16" s="14" t="inlineStr">
        <is>
          <t xml:space="preserve">Offline/save/clock recovery</t>
        </is>
      </c>
      <c r="I16" s="14"/>
      <c r="J16" s="17"/>
      <c r="K16" s="14" t="inlineStr">
        <is>
          <t xml:space="preserve">Not Tested</t>
        </is>
      </c>
      <c r="L16" s="14"/>
    </row>
    <row r="17">
      <c r="A17" s="14" t="inlineStr">
        <is>
          <t xml:space="preserve">ENV-16</t>
        </is>
      </c>
      <c r="B17" s="14" t="inlineStr">
        <is>
          <t xml:space="preserve">Production Smoke</t>
        </is>
      </c>
      <c r="C17" s="14" t="inlineStr">
        <is>
          <t xml:space="preserve">Desktop</t>
        </is>
      </c>
      <c r="D17" s="14" t="inlineStr">
        <is>
          <t xml:space="preserve">1440×900</t>
        </is>
      </c>
      <c r="E17" s="14" t="inlineStr">
        <is>
          <t xml:space="preserve">Chrome latest</t>
        </is>
      </c>
      <c r="F17" s="14" t="inlineStr">
        <is>
          <t xml:space="preserve">Windows/macOS</t>
        </is>
      </c>
      <c r="G17" s="14" t="inlineStr">
        <is>
          <t xml:space="preserve">Critical</t>
        </is>
      </c>
      <c r="H17" s="14" t="inlineStr">
        <is>
          <t xml:space="preserve">Post-deploy smoke only</t>
        </is>
      </c>
      <c r="I17" s="14"/>
      <c r="J17" s="17"/>
      <c r="K17" s="14" t="inlineStr">
        <is>
          <t xml:space="preserve">Not Tested</t>
        </is>
      </c>
      <c r="L17" s="14"/>
    </row>
    <row r="18">
      <c r="A18" s="14" t="inlineStr">
        <is>
          <t xml:space="preserve">ENV-17</t>
        </is>
      </c>
      <c r="B18" s="14" t="inlineStr">
        <is>
          <t xml:space="preserve">Production Smoke</t>
        </is>
      </c>
      <c r="C18" s="14" t="inlineStr">
        <is>
          <t xml:space="preserve">Mobile</t>
        </is>
      </c>
      <c r="D18" s="14" t="inlineStr">
        <is>
          <t xml:space="preserve">Modern target device</t>
        </is>
      </c>
      <c r="E18" s="14" t="inlineStr">
        <is>
          <t xml:space="preserve">Safari/Chrome</t>
        </is>
      </c>
      <c r="F18" s="14" t="inlineStr">
        <is>
          <t xml:space="preserve">iOS/Android</t>
        </is>
      </c>
      <c r="G18" s="14" t="inlineStr">
        <is>
          <t xml:space="preserve">Critical</t>
        </is>
      </c>
      <c r="H18" s="14" t="inlineStr">
        <is>
          <t xml:space="preserve">Post-deploy PWA/clock smoke</t>
        </is>
      </c>
      <c r="I18" s="14"/>
      <c r="J18" s="17"/>
      <c r="K18" s="14" t="inlineStr">
        <is>
          <t xml:space="preserve">Not Tested</t>
        </is>
      </c>
      <c r="L18" s="14"/>
    </row>
    <row r="19">
      <c r="A19" s="14" t="inlineStr">
        <is>
          <t xml:space="preserve">ENV-18</t>
        </is>
      </c>
      <c r="B19" s="14" t="inlineStr">
        <is>
          <t xml:space="preserve">Staging</t>
        </is>
      </c>
      <c r="C19" s="14" t="inlineStr">
        <is>
          <t xml:space="preserve">Mobile</t>
        </is>
      </c>
      <c r="D19" s="14" t="inlineStr">
        <is>
          <t xml:space="preserve">OnePlus Nord 4 (record CSS viewport)</t>
        </is>
      </c>
      <c r="E19" s="14" t="inlineStr">
        <is>
          <t xml:space="preserve">Installed Chrome PWA</t>
        </is>
      </c>
      <c r="F19" s="14" t="inlineStr">
        <is>
          <t xml:space="preserve">Record installed Android / OxygenOS version</t>
        </is>
      </c>
      <c r="G19" s="14" t="inlineStr">
        <is>
          <t xml:space="preserve">Critical</t>
        </is>
      </c>
      <c r="H19" s="14" t="inlineStr">
        <is>
          <t xml:space="preserve">Cold launch, Android process eviction, idle resume, core page loads</t>
        </is>
      </c>
      <c r="I19" s="14"/>
      <c r="J19" s="17"/>
      <c r="K19" s="14" t="inlineStr">
        <is>
          <t xml:space="preserve">Not Tested</t>
        </is>
      </c>
      <c r="L19" s="14" t="inlineStr">
        <is>
          <t xml:space="preserve">Record Chrome version, battery settings and Wi-Fi/mobile data conditions.</t>
        </is>
      </c>
    </row>
    <row r="20">
      <c r="A20" s="14" t="inlineStr">
        <is>
          <t xml:space="preserve">ENV-19</t>
        </is>
      </c>
      <c r="B20" s="14" t="inlineStr">
        <is>
          <t xml:space="preserve">Staging</t>
        </is>
      </c>
      <c r="C20" s="14" t="inlineStr">
        <is>
          <t xml:space="preserve">Mobile</t>
        </is>
      </c>
      <c r="D20" s="14" t="inlineStr">
        <is>
          <t xml:space="preserve">320 and 348 CSS pixels wide</t>
        </is>
      </c>
      <c r="E20" s="14" t="inlineStr">
        <is>
          <t xml:space="preserve">Chrome responsive mode plus real-device check</t>
        </is>
      </c>
      <c r="F20" s="14" t="inlineStr">
        <is>
          <t xml:space="preserve">Android</t>
        </is>
      </c>
      <c r="G20" s="14" t="inlineStr">
        <is>
          <t xml:space="preserve">High</t>
        </is>
      </c>
      <c r="H20" s="14" t="inlineStr">
        <is>
          <t xml:space="preserve">Manager dashboard action row and zone/status filter row</t>
        </is>
      </c>
      <c r="I20" s="14"/>
      <c r="J20" s="17"/>
      <c r="K20" s="14" t="inlineStr">
        <is>
          <t xml:space="preserve">Not Tested</t>
        </is>
      </c>
      <c r="L20" s="14" t="inlineStr">
        <is>
          <t xml:space="preserve">Also compare 360 and 390 CSS pixels and desktop.</t>
        </is>
      </c>
    </row>
  </sheetData>
  <dataValidations count="1">
    <dataValidation type="list" sqref="K2:K20">
      <formula1>"Not Tested,Passed,Failed,Blocked"</formula1>
    </dataValidation>
  </dataValidations>
  <pageMargins left="0.7" right="0.7" top="0.75" bottom="0.75" header="0.3" footer="0.3"/>
  <tableParts count="1">
    <tablePart r:id="Rc3c1208304ce42f1"/>
  </tableParts>
</worksheet>
</file>

<file path=xl/worksheets/sheet9.xml><?xml version="1.0" encoding="utf-8"?>
<worksheet xmlns="http://schemas.openxmlformats.org/spreadsheetml/2006/main" xmlns:r="http://schemas.openxmlformats.org/officeDocument/2006/relationships">
  <sheetFormatPr defaultRowHeight="15"/>
  <cols>
    <col min="1" max="1" width="11" hidden="0" customWidth="1"/>
    <col min="2" max="2" width="18" hidden="0" customWidth="1"/>
    <col min="3" max="3" width="28" hidden="0" customWidth="1"/>
    <col min="4" max="4" width="58" hidden="0" customWidth="1"/>
    <col min="5" max="5" width="28" hidden="0" customWidth="1"/>
  </cols>
  <sheetData>
    <row r="1" ht="34" customHeight="1">
      <c r="A1" s="6" t="inlineStr">
        <is>
          <t xml:space="preserve">Data ID</t>
        </is>
      </c>
      <c r="B1" s="6" t="inlineStr">
        <is>
          <t xml:space="preserve">Type</t>
        </is>
      </c>
      <c r="C1" s="6" t="inlineStr">
        <is>
          <t xml:space="preserve">Name</t>
        </is>
      </c>
      <c r="D1" s="6" t="inlineStr">
        <is>
          <t xml:space="preserve">Configuration</t>
        </is>
      </c>
      <c r="E1" s="6" t="inlineStr">
        <is>
          <t xml:space="preserve">Primary Use</t>
        </is>
      </c>
    </row>
    <row r="2">
      <c r="A2" s="14" t="inlineStr">
        <is>
          <t xml:space="preserve">TD-001</t>
        </is>
      </c>
      <c r="B2" s="14" t="inlineStr">
        <is>
          <t xml:space="preserve">Organisation</t>
        </is>
      </c>
      <c r="C2" s="14" t="inlineStr">
        <is>
          <t xml:space="preserve">Single-location beta customer</t>
        </is>
      </c>
      <c r="D2" s="14" t="inlineStr">
        <is>
          <t xml:space="preserve">1 location; 40 employees; Bar/Floor/Management zones</t>
        </is>
      </c>
      <c r="E2" s="14" t="inlineStr">
        <is>
          <t xml:space="preserve">Core beta regression</t>
        </is>
      </c>
    </row>
    <row r="3">
      <c r="A3" s="14" t="inlineStr">
        <is>
          <t xml:space="preserve">TD-002</t>
        </is>
      </c>
      <c r="B3" s="14" t="inlineStr">
        <is>
          <t xml:space="preserve">Organisation</t>
        </is>
      </c>
      <c r="C3" s="14" t="inlineStr">
        <is>
          <t xml:space="preserve">Multi-location customer</t>
        </is>
      </c>
      <c r="D3" s="14" t="inlineStr">
        <is>
          <t xml:space="preserve">3 locations; shared employees; T&amp;A enabled at one location</t>
        </is>
      </c>
      <c r="E3" s="14" t="inlineStr">
        <is>
          <t xml:space="preserve">Cross-location and billing</t>
        </is>
      </c>
    </row>
    <row r="4">
      <c r="A4" s="14" t="inlineStr">
        <is>
          <t xml:space="preserve">TD-003</t>
        </is>
      </c>
      <c r="B4" s="14" t="inlineStr">
        <is>
          <t xml:space="preserve">Organisation</t>
        </is>
      </c>
      <c r="C4" s="14" t="inlineStr">
        <is>
          <t xml:space="preserve">Large performance customer</t>
        </is>
      </c>
      <c r="D4" s="14" t="inlineStr">
        <is>
          <t xml:space="preserve">10 locations; 500 employees; dense rota history</t>
        </is>
      </c>
      <c r="E4" s="14" t="inlineStr">
        <is>
          <t xml:space="preserve">Performance/load</t>
        </is>
      </c>
    </row>
    <row r="5">
      <c r="A5" s="14" t="inlineStr">
        <is>
          <t xml:space="preserve">TD-004</t>
        </is>
      </c>
      <c r="B5" s="14" t="inlineStr">
        <is>
          <t xml:space="preserve">User</t>
        </is>
      </c>
      <c r="C5" s="14" t="inlineStr">
        <is>
          <t xml:space="preserve">Owner</t>
        </is>
      </c>
      <c r="D5" s="14" t="inlineStr">
        <is>
          <t xml:space="preserve">Verified account; billing access; all locations</t>
        </is>
      </c>
      <c r="E5" s="14" t="inlineStr">
        <is>
          <t xml:space="preserve">Owner permissions</t>
        </is>
      </c>
    </row>
    <row r="6">
      <c r="A6" s="14" t="inlineStr">
        <is>
          <t xml:space="preserve">TD-005</t>
        </is>
      </c>
      <c r="B6" s="14" t="inlineStr">
        <is>
          <t xml:space="preserve">User</t>
        </is>
      </c>
      <c r="C6" s="14" t="inlineStr">
        <is>
          <t xml:space="preserve">Organisation admin</t>
        </is>
      </c>
      <c r="D6" s="14" t="inlineStr">
        <is>
          <t xml:space="preserve">All operational access; no ownership transfer</t>
        </is>
      </c>
      <c r="E6" s="14" t="inlineStr">
        <is>
          <t xml:space="preserve">Admin permissions</t>
        </is>
      </c>
    </row>
    <row r="7">
      <c r="A7" s="14" t="inlineStr">
        <is>
          <t xml:space="preserve">TD-006</t>
        </is>
      </c>
      <c r="B7" s="14" t="inlineStr">
        <is>
          <t xml:space="preserve">User</t>
        </is>
      </c>
      <c r="C7" s="14" t="inlineStr">
        <is>
          <t xml:space="preserve">Location manager</t>
        </is>
      </c>
      <c r="D7" s="14" t="inlineStr">
        <is>
          <t xml:space="preserve">One location only; publish permission variants</t>
        </is>
      </c>
      <c r="E7" s="14" t="inlineStr">
        <is>
          <t xml:space="preserve">Manager permissions</t>
        </is>
      </c>
    </row>
    <row r="8">
      <c r="A8" s="14" t="inlineStr">
        <is>
          <t xml:space="preserve">TD-007</t>
        </is>
      </c>
      <c r="B8" s="14" t="inlineStr">
        <is>
          <t xml:space="preserve">User</t>
        </is>
      </c>
      <c r="C8" s="14" t="inlineStr">
        <is>
          <t xml:space="preserve">Employee</t>
        </is>
      </c>
      <c r="D8" s="14" t="inlineStr">
        <is>
          <t xml:space="preserve">One location; upcoming published shifts</t>
        </is>
      </c>
      <c r="E8" s="14" t="inlineStr">
        <is>
          <t xml:space="preserve">Employee self-service</t>
        </is>
      </c>
    </row>
    <row r="9">
      <c r="A9" s="14" t="inlineStr">
        <is>
          <t xml:space="preserve">TD-008</t>
        </is>
      </c>
      <c r="B9" s="14" t="inlineStr">
        <is>
          <t xml:space="preserve">User</t>
        </is>
      </c>
      <c r="C9" s="14" t="inlineStr">
        <is>
          <t xml:space="preserve">Cross-location employee</t>
        </is>
      </c>
      <c r="D9" s="14" t="inlineStr">
        <is>
          <t xml:space="preserve">Active in two locations; one has T&amp;A</t>
        </is>
      </c>
      <c r="E9" s="14" t="inlineStr">
        <is>
          <t xml:space="preserve">Scheduling and billing</t>
        </is>
      </c>
    </row>
    <row r="10">
      <c r="A10" s="14" t="inlineStr">
        <is>
          <t xml:space="preserve">TD-009</t>
        </is>
      </c>
      <c r="B10" s="14" t="inlineStr">
        <is>
          <t xml:space="preserve">Employee state</t>
        </is>
      </c>
      <c r="C10" s="14" t="inlineStr">
        <is>
          <t xml:space="preserve">Late joiner</t>
        </is>
      </c>
      <c r="D10" s="14" t="inlineStr">
        <is>
          <t xml:space="preserve">Joins mid-cycle; initially no shifts, then one shift</t>
        </is>
      </c>
      <c r="E10" s="14" t="inlineStr">
        <is>
          <t xml:space="preserve">Billing cutoff</t>
        </is>
      </c>
    </row>
    <row r="11">
      <c r="A11" s="14" t="inlineStr">
        <is>
          <t xml:space="preserve">TD-010</t>
        </is>
      </c>
      <c r="B11" s="14" t="inlineStr">
        <is>
          <t xml:space="preserve">Employee state</t>
        </is>
      </c>
      <c r="C11" s="14" t="inlineStr">
        <is>
          <t xml:space="preserve">Early leaver</t>
        </is>
      </c>
      <c r="D11" s="14" t="inlineStr">
        <is>
          <t xml:space="preserve">Deactivated at all locations; shift/no-shift variants since invoice</t>
        </is>
      </c>
      <c r="E11" s="14" t="inlineStr">
        <is>
          <t xml:space="preserve">Billing cutoff</t>
        </is>
      </c>
    </row>
    <row r="12">
      <c r="A12" s="14" t="inlineStr">
        <is>
          <t xml:space="preserve">TD-011</t>
        </is>
      </c>
      <c r="B12" s="14" t="inlineStr">
        <is>
          <t xml:space="preserve">Rota</t>
        </is>
      </c>
      <c r="C12" s="14" t="inlineStr">
        <is>
          <t xml:space="preserve">Standard week</t>
        </is>
      </c>
      <c r="D12" s="14" t="inlineStr">
        <is>
          <t xml:space="preserve">Day shifts, breaks and all zones</t>
        </is>
      </c>
      <c r="E12" s="14" t="inlineStr">
        <is>
          <t xml:space="preserve">Core scheduling</t>
        </is>
      </c>
    </row>
    <row r="13">
      <c r="A13" s="14" t="inlineStr">
        <is>
          <t xml:space="preserve">TD-012</t>
        </is>
      </c>
      <c r="B13" s="14" t="inlineStr">
        <is>
          <t xml:space="preserve">Rota</t>
        </is>
      </c>
      <c r="C13" s="14" t="inlineStr">
        <is>
          <t xml:space="preserve">Complex week</t>
        </is>
      </c>
      <c r="D13" s="14" t="inlineStr">
        <is>
          <t xml:space="preserve">Overnight, split, to-close, open shifts and conflicts</t>
        </is>
      </c>
      <c r="E13" s="14" t="inlineStr">
        <is>
          <t xml:space="preserve">Edge regression</t>
        </is>
      </c>
    </row>
    <row r="14">
      <c r="A14" s="14" t="inlineStr">
        <is>
          <t xml:space="preserve">TD-013</t>
        </is>
      </c>
      <c r="B14" s="14" t="inlineStr">
        <is>
          <t xml:space="preserve">Availability</t>
        </is>
      </c>
      <c r="C14" s="14" t="inlineStr">
        <is>
          <t xml:space="preserve">Recurring restriction</t>
        </is>
      </c>
      <c r="D14" s="14" t="inlineStr">
        <is>
          <t xml:space="preserve">Cannot work Saturdays effective for six months</t>
        </is>
      </c>
      <c r="E14" s="14" t="inlineStr">
        <is>
          <t xml:space="preserve">Conflict warning</t>
        </is>
      </c>
    </row>
    <row r="15">
      <c r="A15" s="14" t="inlineStr">
        <is>
          <t xml:space="preserve">TD-015</t>
        </is>
      </c>
      <c r="B15" s="14" t="inlineStr">
        <is>
          <t xml:space="preserve">Clock</t>
        </is>
      </c>
      <c r="C15" s="14" t="inlineStr">
        <is>
          <t xml:space="preserve">Valid fresh tap</t>
        </is>
      </c>
      <c r="D15" s="14" t="inlineStr">
        <is>
          <t xml:space="preserve">Valid encrypted PICC data and CMAC; unused counter; inside TTL</t>
        </is>
      </c>
      <c r="E15" s="14" t="inlineStr">
        <is>
          <t xml:space="preserve">Happy path</t>
        </is>
      </c>
    </row>
    <row r="16">
      <c r="A16" s="14" t="inlineStr">
        <is>
          <t xml:space="preserve">TD-016</t>
        </is>
      </c>
      <c r="B16" s="14" t="inlineStr">
        <is>
          <t xml:space="preserve">Clock</t>
        </is>
      </c>
      <c r="C16" s="14" t="inlineStr">
        <is>
          <t xml:space="preserve">Replay tap</t>
        </is>
      </c>
      <c r="D16" s="14" t="inlineStr">
        <is>
          <t xml:space="preserve">Same counter and URL used twice</t>
        </is>
      </c>
      <c r="E16" s="14" t="inlineStr">
        <is>
          <t xml:space="preserve">Anti-replay</t>
        </is>
      </c>
    </row>
    <row r="17">
      <c r="A17" s="14" t="inlineStr">
        <is>
          <t xml:space="preserve">TD-017</t>
        </is>
      </c>
      <c r="B17" s="14" t="inlineStr">
        <is>
          <t xml:space="preserve">Clock</t>
        </is>
      </c>
      <c r="C17" s="14" t="inlineStr">
        <is>
          <t xml:space="preserve">Expired tap</t>
        </is>
      </c>
      <c r="D17" s="14" t="inlineStr">
        <is>
          <t xml:space="preserve">Valid cryptography but beyond TTL</t>
        </is>
      </c>
      <c r="E17" s="14" t="inlineStr">
        <is>
          <t xml:space="preserve">Expiry</t>
        </is>
      </c>
    </row>
    <row r="18">
      <c r="A18" s="14" t="inlineStr">
        <is>
          <t xml:space="preserve">TD-018</t>
        </is>
      </c>
      <c r="B18" s="14" t="inlineStr">
        <is>
          <t xml:space="preserve">Clock</t>
        </is>
      </c>
      <c r="C18" s="14" t="inlineStr">
        <is>
          <t xml:space="preserve">Tampered tap</t>
        </is>
      </c>
      <c r="D18" s="14" t="inlineStr">
        <is>
          <t xml:space="preserve">Changed PICC data/CMAC/location route</t>
        </is>
      </c>
      <c r="E18" s="14" t="inlineStr">
        <is>
          <t xml:space="preserve">Security</t>
        </is>
      </c>
    </row>
    <row r="19">
      <c r="A19" s="14" t="inlineStr">
        <is>
          <t xml:space="preserve">TD-019</t>
        </is>
      </c>
      <c r="B19" s="14" t="inlineStr">
        <is>
          <t xml:space="preserve">Stripe</t>
        </is>
      </c>
      <c r="C19" s="14" t="inlineStr">
        <is>
          <t xml:space="preserve">Healthy monthly subscription</t>
        </is>
      </c>
      <c r="D19" s="14" t="inlineStr">
        <is>
          <t xml:space="preserve">Base + excess employees + one T&amp;A location</t>
        </is>
      </c>
      <c r="E19" s="14" t="inlineStr">
        <is>
          <t xml:space="preserve">Billing happy path</t>
        </is>
      </c>
    </row>
    <row r="20">
      <c r="A20" s="14" t="inlineStr">
        <is>
          <t xml:space="preserve">TD-020</t>
        </is>
      </c>
      <c r="B20" s="14" t="inlineStr">
        <is>
          <t xml:space="preserve">Stripe</t>
        </is>
      </c>
      <c r="C20" s="14" t="inlineStr">
        <is>
          <t xml:space="preserve">Payment recovery</t>
        </is>
      </c>
      <c r="D20" s="14" t="inlineStr">
        <is>
          <t xml:space="preserve">Failed card; retries; updated card; recovery</t>
        </is>
      </c>
      <c r="E20" s="14" t="inlineStr">
        <is>
          <t xml:space="preserve">Dunning</t>
        </is>
      </c>
    </row>
    <row r="21">
      <c r="A21" s="14" t="inlineStr">
        <is>
          <t xml:space="preserve">TD-021</t>
        </is>
      </c>
      <c r="B21" s="14" t="inlineStr">
        <is>
          <t xml:space="preserve">Email</t>
        </is>
      </c>
      <c r="C21" s="14" t="inlineStr">
        <is>
          <t xml:space="preserve">Deliverable inbox</t>
        </is>
      </c>
      <c r="D21" s="14" t="inlineStr">
        <is>
          <t xml:space="preserve">Verified test mailbox on approved staging domain</t>
        </is>
      </c>
      <c r="E21" s="14" t="inlineStr">
        <is>
          <t xml:space="preserve">Email happy path</t>
        </is>
      </c>
    </row>
    <row r="22">
      <c r="A22" s="14" t="inlineStr">
        <is>
          <t xml:space="preserve">TD-022</t>
        </is>
      </c>
      <c r="B22" s="14" t="inlineStr">
        <is>
          <t xml:space="preserve">Email</t>
        </is>
      </c>
      <c r="C22" s="14" t="inlineStr">
        <is>
          <t xml:space="preserve">Bounced/suppressed inbox</t>
        </is>
      </c>
      <c r="D22" s="14" t="inlineStr">
        <is>
          <t xml:space="preserve">Provider test address or controlled suppression</t>
        </is>
      </c>
      <c r="E22" s="14" t="inlineStr">
        <is>
          <t xml:space="preserve">Failure handling</t>
        </is>
      </c>
    </row>
    <row r="23">
      <c r="A23" s="14" t="inlineStr">
        <is>
          <t xml:space="preserve">TD-023</t>
        </is>
      </c>
      <c r="B23" s="14" t="inlineStr">
        <is>
          <t xml:space="preserve">Import</t>
        </is>
      </c>
      <c r="C23" s="14" t="inlineStr">
        <is>
          <t xml:space="preserve">Valid employee CSV</t>
        </is>
      </c>
      <c r="D23" s="14" t="inlineStr">
        <is>
          <t xml:space="preserve">Unique emails; roles; payroll references</t>
        </is>
      </c>
      <c r="E23" s="14" t="inlineStr">
        <is>
          <t xml:space="preserve">Import happy path</t>
        </is>
      </c>
    </row>
    <row r="24">
      <c r="A24" s="14" t="inlineStr">
        <is>
          <t xml:space="preserve">TD-024</t>
        </is>
      </c>
      <c r="B24" s="14" t="inlineStr">
        <is>
          <t xml:space="preserve">Import</t>
        </is>
      </c>
      <c r="C24" s="14" t="inlineStr">
        <is>
          <t xml:space="preserve">Invalid employee CSV</t>
        </is>
      </c>
      <c r="D24" s="14" t="inlineStr">
        <is>
          <t xml:space="preserve">Duplicates, missing email, malicious formula and bad encoding</t>
        </is>
      </c>
      <c r="E24" s="14" t="inlineStr">
        <is>
          <t xml:space="preserve">Import security/validation</t>
        </is>
      </c>
    </row>
    <row r="25">
      <c r="A25" s="14" t="inlineStr">
        <is>
          <t xml:space="preserve">TD-025</t>
        </is>
      </c>
      <c r="B25" s="14" t="inlineStr">
        <is>
          <t xml:space="preserve">Payroll</t>
        </is>
      </c>
      <c r="C25" s="14" t="inlineStr">
        <is>
          <t xml:space="preserve">Approved period</t>
        </is>
      </c>
      <c r="D25" s="14" t="inlineStr">
        <is>
          <t xml:space="preserve">Approved hours with regular/overtime and complete Sage references</t>
        </is>
      </c>
      <c r="E25" s="14" t="inlineStr">
        <is>
          <t xml:space="preserve">Sage export</t>
        </is>
      </c>
    </row>
  </sheetData>
  <pageMargins left="0.7" right="0.7" top="0.75" bottom="0.75" header="0.3" footer="0.3"/>
  <tableParts count="1">
    <tablePart r:id="Rdf8ff0aee6784410"/>
  </tableParts>
</worksheet>
</file>

<file path=xl/worksheets/sheet10.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x:c r="A1" s="6" t="str">
        <x:v>Status</x:v>
      </x:c>
      <x:c r="B1" s="6" t="str">
        <x:v>Priority</x:v>
      </x:c>
      <x:c r="C1" s="6" t="str">
        <x:v>Severity</x:v>
      </x:c>
      <x:c r="D1" s="6" t="str">
        <x:v>Environment</x:v>
      </x:c>
      <x:c r="E1" s="6" t="str">
        <x:v>Automation</x:v>
      </x:c>
      <x:c r="F1" s="6" t="str">
        <x:v>Yes/No</x:v>
      </x:c>
      <x:c r="G1" s="6" t="str">
        <x:v>Retest</x:v>
      </x:c>
    </x:row>
    <x:row r="2">
      <x:c r="A2" s="14" t="str">
        <x:v>Not Run</x:v>
      </x:c>
      <x:c r="B2" s="14" t="str">
        <x:v>Critical</x:v>
      </x:c>
      <x:c r="C2" s="14" t="str">
        <x:v>Critical</x:v>
      </x:c>
      <x:c r="D2" s="14" t="str">
        <x:v>Local</x:v>
      </x:c>
      <x:c r="E2" s="14" t="str">
        <x:v>Automate</x:v>
      </x:c>
      <x:c r="F2" s="14" t="str">
        <x:v>Yes</x:v>
      </x:c>
      <x:c r="G2" s="14" t="str">
        <x:v>Not Required</x:v>
      </x:c>
    </x:row>
    <x:row r="3">
      <x:c r="A3" s="14" t="str">
        <x:v>In Progress</x:v>
      </x:c>
      <x:c r="B3" s="14" t="str">
        <x:v>High</x:v>
      </x:c>
      <x:c r="C3" s="14" t="str">
        <x:v>High</x:v>
      </x:c>
      <x:c r="D3" s="14" t="str">
        <x:v>Development</x:v>
      </x:c>
      <x:c r="E3" s="14" t="str">
        <x:v>Candidate</x:v>
      </x:c>
      <x:c r="F3" s="14" t="str">
        <x:v>No</x:v>
      </x:c>
      <x:c r="G3" s="14" t="str">
        <x:v>Pending</x:v>
      </x:c>
    </x:row>
    <x:row r="4">
      <x:c r="A4" s="14" t="str">
        <x:v>Passed</x:v>
      </x:c>
      <x:c r="B4" s="14" t="str">
        <x:v>Medium</x:v>
      </x:c>
      <x:c r="C4" s="14" t="str">
        <x:v>Medium</x:v>
      </x:c>
      <x:c r="D4" s="14" t="str">
        <x:v>Staging</x:v>
      </x:c>
      <x:c r="E4" s="14" t="str">
        <x:v>Manual</x:v>
      </x:c>
      <x:c r="F4" s="14" t="str"/>
      <x:c r="G4" s="14" t="str">
        <x:v>Passed</x:v>
      </x:c>
    </x:row>
    <x:row r="5">
      <x:c r="A5" s="14" t="str">
        <x:v>Failed</x:v>
      </x:c>
      <x:c r="B5" s="14" t="str">
        <x:v>Low</x:v>
      </x:c>
      <x:c r="C5" s="14" t="str">
        <x:v>Low</x:v>
      </x:c>
      <x:c r="D5" s="14" t="str">
        <x:v>Production Smoke</x:v>
      </x:c>
      <x:c r="E5" s="14" t="str"/>
      <x:c r="F5" s="14" t="str"/>
      <x:c r="G5" s="14" t="str">
        <x:v>Failed</x:v>
      </x:c>
    </x:row>
    <x:row r="6">
      <x:c r="A6" s="14" t="str">
        <x:v>Blocked</x:v>
      </x:c>
      <x:c r="B6" s="14" t="str"/>
      <x:c r="C6" s="14" t="str"/>
      <x:c r="D6" s="14" t="str"/>
      <x:c r="E6" s="14" t="str"/>
      <x:c r="F6" s="14" t="str"/>
      <x:c r="G6" s="14" t="str"/>
    </x:row>
    <x:row r="7">
      <x:c r="A7" s="14" t="str">
        <x:v>Not Applicable</x:v>
      </x:c>
      <x:c r="B7" s="14" t="str"/>
      <x:c r="C7" s="14" t="str"/>
      <x:c r="D7" s="14" t="str"/>
      <x:c r="E7" s="14" t="str"/>
      <x:c r="F7" s="14" t="str"/>
      <x:c r="G7" s="14" t="str"/>
    </x:row>
  </x:sheetData>
  <x:pageMargins left="0.7" right="0.7" top="0.75" bottom="0.75" header="0.3" footer="0.3"/>
</x:worksheet>
</file>